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CAPV-FIC01\Services\SJ\Laurent\2 - MARCHES PUBLICS\2026\08 - MAPA_2026-08 - Tx chauffage 14K\"/>
    </mc:Choice>
  </mc:AlternateContent>
  <xr:revisionPtr revIDLastSave="0" documentId="13_ncr:1_{98216E6A-9BE0-4375-8B51-059ADFC22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PGF" sheetId="21" r:id="rId1"/>
  </sheets>
  <definedNames>
    <definedName name="_xlnm.Print_Area" localSheetId="0">DPGF!$A$1:$H$64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21" l="1"/>
  <c r="B61" i="21"/>
  <c r="B60" i="21"/>
  <c r="H50" i="21"/>
  <c r="H51" i="21"/>
  <c r="H52" i="21"/>
  <c r="H53" i="21"/>
  <c r="E53" i="21"/>
  <c r="H49" i="21"/>
  <c r="E49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40" i="21"/>
  <c r="H41" i="21" s="1"/>
  <c r="H16" i="21"/>
  <c r="H17" i="21"/>
  <c r="H7" i="21"/>
  <c r="H8" i="21"/>
  <c r="B59" i="21"/>
  <c r="B58" i="21"/>
  <c r="B57" i="21"/>
  <c r="H45" i="21"/>
  <c r="E45" i="21"/>
  <c r="H44" i="21"/>
  <c r="E44" i="21"/>
  <c r="H36" i="21"/>
  <c r="E36" i="21"/>
  <c r="H35" i="21"/>
  <c r="E35" i="21"/>
  <c r="H18" i="21"/>
  <c r="H14" i="21"/>
  <c r="H15" i="21"/>
  <c r="H13" i="21"/>
  <c r="H6" i="21"/>
  <c r="H9" i="21"/>
  <c r="H5" i="21"/>
  <c r="E18" i="21"/>
  <c r="E14" i="21"/>
  <c r="E13" i="21"/>
  <c r="B56" i="21"/>
  <c r="E9" i="21"/>
  <c r="H54" i="21" l="1"/>
  <c r="H61" i="21" s="1"/>
  <c r="H32" i="21"/>
  <c r="H57" i="21" s="1"/>
  <c r="H37" i="21"/>
  <c r="H58" i="21" s="1"/>
  <c r="H46" i="21"/>
  <c r="H60" i="21" s="1"/>
  <c r="H10" i="21"/>
  <c r="H56" i="21" s="1"/>
  <c r="E6" i="21"/>
  <c r="E5" i="21"/>
  <c r="H62" i="21" l="1"/>
  <c r="H63" i="21" s="1"/>
  <c r="H64" i="21" s="1"/>
</calcChain>
</file>

<file path=xl/sharedStrings.xml><?xml version="1.0" encoding="utf-8"?>
<sst xmlns="http://schemas.openxmlformats.org/spreadsheetml/2006/main" count="172" uniqueCount="109">
  <si>
    <t>Forfait</t>
  </si>
  <si>
    <t>1.1</t>
  </si>
  <si>
    <t>1.2</t>
  </si>
  <si>
    <t>N° de prix</t>
  </si>
  <si>
    <t>Désignation de la prestation</t>
  </si>
  <si>
    <t>Unités</t>
  </si>
  <si>
    <t>1</t>
  </si>
  <si>
    <t>Unité</t>
  </si>
  <si>
    <t>Quantité</t>
  </si>
  <si>
    <t>2.2</t>
  </si>
  <si>
    <t>Prix unitaires</t>
  </si>
  <si>
    <t>Montant € H.T.</t>
  </si>
  <si>
    <t>P.U. € H.T.</t>
  </si>
  <si>
    <t>SOUS-TOTAL 1 (H.T.)</t>
  </si>
  <si>
    <t>SOUS-TOTAL 2 (H.T.)</t>
  </si>
  <si>
    <t xml:space="preserve">TOTAL TRAVAUX (H.T.) </t>
  </si>
  <si>
    <t>T.V.A.</t>
  </si>
  <si>
    <t>TOTAL TRAVAUX (T.T.C.)</t>
  </si>
  <si>
    <t>2</t>
  </si>
  <si>
    <t>N° de poste</t>
  </si>
  <si>
    <t>DESIGNATION</t>
  </si>
  <si>
    <t>MONTANT</t>
  </si>
  <si>
    <t>Quantités prévisionnelle du DCE</t>
  </si>
  <si>
    <t>Quantités estimées par le candidat</t>
  </si>
  <si>
    <t>2.1</t>
  </si>
  <si>
    <t>U</t>
  </si>
  <si>
    <t xml:space="preserve">Quantités vérifiées entreprise </t>
  </si>
  <si>
    <t xml:space="preserve">TRAVAUX DE DEPOSE ET DE PREPARATION </t>
  </si>
  <si>
    <t>Reconnaissance de l'existant</t>
  </si>
  <si>
    <t>Mise en place des protections</t>
  </si>
  <si>
    <t>1.3</t>
  </si>
  <si>
    <t>1.4</t>
  </si>
  <si>
    <t>1.5</t>
  </si>
  <si>
    <t>SOUS-TOTAL 3 (H.T.)</t>
  </si>
  <si>
    <t>Ens</t>
  </si>
  <si>
    <t>4.1</t>
  </si>
  <si>
    <t>SOUS-TOTAL 4 (H.T.)</t>
  </si>
  <si>
    <t>5.1</t>
  </si>
  <si>
    <t>5.2</t>
  </si>
  <si>
    <t>SOUS-TOTAL 5 (H.T.)</t>
  </si>
  <si>
    <t>3</t>
  </si>
  <si>
    <t>4</t>
  </si>
  <si>
    <t>5</t>
  </si>
  <si>
    <t>3.1</t>
  </si>
  <si>
    <t>3.2</t>
  </si>
  <si>
    <t>6.1</t>
  </si>
  <si>
    <t>SOUS-TOTAL 6 (H.T.)</t>
  </si>
  <si>
    <t xml:space="preserve">Déconnexion électrique et hydraulique dela PAC et de la chaudière électrique   </t>
  </si>
  <si>
    <t>Modification du chassis PAC existants</t>
  </si>
  <si>
    <t>Modification ou réalisation d'un nouveau châssis pour l'installation d'un ballon tampon de 150l</t>
  </si>
  <si>
    <t>EQUIPEMENTS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</si>
  <si>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</si>
  <si>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</si>
  <si>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</si>
  <si>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</si>
  <si>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</si>
  <si>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</si>
  <si>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</si>
  <si>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</si>
  <si>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</si>
  <si>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</si>
  <si>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</si>
  <si>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</si>
  <si>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</si>
  <si>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</si>
  <si>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</si>
  <si>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</si>
  <si>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</si>
  <si>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Fourniture et pose d'une pompe à chaleur puissance Chaud 22,89 KW par -7°C</t>
  </si>
  <si>
    <t xml:space="preserve">Fourniture et pose de plots antivibratils pour la PAC </t>
  </si>
  <si>
    <t xml:space="preserve">Fourniture et pose d'un ballon tampon 150l  avec resistance électrique 4,5KW compris kits accessoire et contacteur  </t>
  </si>
  <si>
    <t>Fourniture et pose de vannes d'arrêt boisseau sphérique D32 Col à rallonge</t>
  </si>
  <si>
    <t>Fourniture et pose de vanne de réglage type TA DN32</t>
  </si>
  <si>
    <t>Fourniture et pose d'un filtre à tamis DN32</t>
  </si>
  <si>
    <t>Fourniture et pose de manchon anti-vibratoires DN32</t>
  </si>
  <si>
    <t>Fourniture et pose de thermomètre 0-120°C</t>
  </si>
  <si>
    <t>Fourniture et pose de Manomètres à glycérines 0-10 bars</t>
  </si>
  <si>
    <t>Fourniture et pose d'une pompe double pour réseau secondaire</t>
  </si>
  <si>
    <t>Fourniture et pose de ponts manométriques en amont et aval dela pompe secondaire et du filtre à tamis</t>
  </si>
  <si>
    <t>Fourniture et pose de vannes de vidange DN20</t>
  </si>
  <si>
    <t>Fourniture et pose d'un contrôleur de débit en sortie de la PAC</t>
  </si>
  <si>
    <t>Fourniture et pose d'un pressostat Manque d'eau</t>
  </si>
  <si>
    <t>Fourniture et pose d'une soupape de sécurité 4 bars</t>
  </si>
  <si>
    <t>Fourniture et pose d'un vase d'expension 12 Litres</t>
  </si>
  <si>
    <t>Fourniture et pose de purgeurs d'air automatique DN15</t>
  </si>
  <si>
    <t>Fourniture et pose d'un Bypass DN100 Lg:2m</t>
  </si>
  <si>
    <t>Canalisation Tube acier noir DN32</t>
  </si>
  <si>
    <t>Ml</t>
  </si>
  <si>
    <t>ELECTRICITE</t>
  </si>
  <si>
    <t>Fourniture et pose d'un coffret électrique en terrasse comprenant l'ensemble des protections et commandes des appareils</t>
  </si>
  <si>
    <t xml:space="preserve">Mise en place d'un traceur électrique sur la nouvelle installation </t>
  </si>
  <si>
    <t xml:space="preserve">Ens </t>
  </si>
  <si>
    <t>CALORIFUGE</t>
  </si>
  <si>
    <t>Calorifuge de la tuyauterie par de la Laine de Roche épaisseur 40mm - Finition Tôle isoxale</t>
  </si>
  <si>
    <t>TRAVAUX DE RACCORDEMENT</t>
  </si>
  <si>
    <t xml:space="preserve">Raccordement des appareils ( PAC, résistance, Pressostat et Flow Switch)    </t>
  </si>
  <si>
    <t>Raccordement électrique depuis alimentation câble existant (dela chaudière électrique ou PAC)  compris remplacement du disjoncteur dans le TGBT</t>
  </si>
  <si>
    <t>DIVERS</t>
  </si>
  <si>
    <t>6.2</t>
  </si>
  <si>
    <t xml:space="preserve">Mise en pression et vérification abscence de fuite    </t>
  </si>
  <si>
    <t>6.3</t>
  </si>
  <si>
    <t>6.4</t>
  </si>
  <si>
    <t>6.5</t>
  </si>
  <si>
    <t>Mise en service et essai</t>
  </si>
  <si>
    <t>Divers consommable (électrode, bouteille Acétylène-Oxygène, métaux d'apport, joint raccords, etc,…)</t>
  </si>
  <si>
    <t>Manutention du matériel et gruttage (gruttage à prévoir un Samedi)</t>
  </si>
  <si>
    <t>Fourniture DOE</t>
  </si>
  <si>
    <t>6</t>
  </si>
  <si>
    <t>DECOMPOSITION DU PRIX GLOBAL ET FORFAITAIRE (DPGF) - Remplacement de la PAC Atelier en toiture terrasse dela Pépinière 14K à Montmagny
MAPA 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</si>
</sst>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&quot;F&quot;_-;\-* #,##0.00\ &quot;F&quot;_-;_-* &quot;-&quot;??\ &quot;F&quot;_-;_-@_-"/>
    <numFmt numFmtId="165" formatCode="_-* #,##0.00\ [$€-40C]_-;\-* #,##0.00\ [$€-40C]_-;_-* &quot;-&quot;??\ [$€-40C]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3" tint="0.59999389629810485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 style="thin">
        <color theme="3" tint="0.59999389629810485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6" fillId="0" borderId="0"/>
    <xf numFmtId="9" fontId="7" fillId="0" borderId="0" applyFont="0" applyFill="0" applyBorder="0" applyAlignment="0" applyProtection="0"/>
  </cellStyleXfs>
  <cellXfs count="145">
    <xf numFmtId="0" fontId="0" fillId="0" borderId="0" xfId="0"/>
    <xf numFmtId="49" fontId="10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2" borderId="2" xfId="3" applyFont="1" applyFill="1" applyBorder="1" applyAlignment="1" applyProtection="1">
      <alignment horizontal="center" vertical="center" wrapText="1"/>
      <protection locked="0"/>
    </xf>
    <xf numFmtId="1" fontId="10" fillId="2" borderId="2" xfId="3" applyNumberFormat="1" applyFont="1" applyFill="1" applyBorder="1" applyAlignment="1" applyProtection="1">
      <alignment horizontal="center" vertical="center" wrapText="1"/>
      <protection locked="0"/>
    </xf>
    <xf numFmtId="44" fontId="10" fillId="2" borderId="2" xfId="1" applyFont="1" applyFill="1" applyBorder="1" applyAlignment="1" applyProtection="1">
      <alignment horizontal="center" vertical="center" wrapText="1"/>
      <protection locked="0"/>
    </xf>
    <xf numFmtId="0" fontId="11" fillId="3" borderId="3" xfId="3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left" vertical="center"/>
    </xf>
    <xf numFmtId="0" fontId="11" fillId="3" borderId="4" xfId="3" applyFont="1" applyFill="1" applyBorder="1" applyAlignment="1">
      <alignment horizontal="center" vertical="center"/>
    </xf>
    <xf numFmtId="1" fontId="11" fillId="3" borderId="4" xfId="3" applyNumberFormat="1" applyFont="1" applyFill="1" applyBorder="1" applyAlignment="1">
      <alignment horizontal="center" vertical="center"/>
    </xf>
    <xf numFmtId="44" fontId="11" fillId="3" borderId="4" xfId="1" applyFont="1" applyFill="1" applyBorder="1" applyAlignment="1" applyProtection="1">
      <alignment horizontal="center" vertical="center"/>
      <protection locked="0"/>
    </xf>
    <xf numFmtId="165" fontId="11" fillId="3" borderId="5" xfId="3" applyNumberFormat="1" applyFont="1" applyFill="1" applyBorder="1" applyAlignment="1" applyProtection="1">
      <alignment horizontal="center" vertical="center"/>
      <protection locked="0"/>
    </xf>
    <xf numFmtId="49" fontId="9" fillId="4" borderId="11" xfId="3" applyNumberFormat="1" applyFont="1" applyFill="1" applyBorder="1" applyAlignment="1" applyProtection="1">
      <alignment horizontal="left" vertical="center"/>
      <protection locked="0"/>
    </xf>
    <xf numFmtId="0" fontId="9" fillId="4" borderId="12" xfId="3" applyFont="1" applyFill="1" applyBorder="1" applyAlignment="1" applyProtection="1">
      <alignment horizontal="center" vertical="center"/>
      <protection locked="0"/>
    </xf>
    <xf numFmtId="44" fontId="9" fillId="4" borderId="12" xfId="1" applyFont="1" applyFill="1" applyBorder="1" applyAlignment="1" applyProtection="1">
      <alignment horizontal="center" vertical="center"/>
      <protection locked="0"/>
    </xf>
    <xf numFmtId="165" fontId="9" fillId="4" borderId="13" xfId="3" applyNumberFormat="1" applyFont="1" applyFill="1" applyBorder="1" applyAlignment="1">
      <alignment horizontal="center" vertical="center" wrapText="1"/>
    </xf>
    <xf numFmtId="49" fontId="8" fillId="5" borderId="15" xfId="3" applyNumberFormat="1" applyFont="1" applyFill="1" applyBorder="1" applyAlignment="1" applyProtection="1">
      <alignment vertical="center"/>
      <protection locked="0"/>
    </xf>
    <xf numFmtId="0" fontId="8" fillId="5" borderId="16" xfId="3" applyFont="1" applyFill="1" applyBorder="1" applyAlignment="1" applyProtection="1">
      <alignment horizontal="center" vertical="center"/>
      <protection locked="0"/>
    </xf>
    <xf numFmtId="44" fontId="8" fillId="5" borderId="16" xfId="1" applyFont="1" applyFill="1" applyBorder="1" applyAlignment="1" applyProtection="1">
      <alignment horizontal="center" vertical="center"/>
      <protection locked="0"/>
    </xf>
    <xf numFmtId="165" fontId="8" fillId="5" borderId="17" xfId="3" applyNumberFormat="1" applyFont="1" applyFill="1" applyBorder="1" applyAlignment="1">
      <alignment horizontal="center" vertical="center"/>
    </xf>
    <xf numFmtId="0" fontId="8" fillId="5" borderId="14" xfId="3" applyFont="1" applyFill="1" applyBorder="1" applyAlignment="1" applyProtection="1">
      <alignment horizontal="center" vertical="center"/>
      <protection locked="0"/>
    </xf>
    <xf numFmtId="10" fontId="8" fillId="5" borderId="14" xfId="5" applyNumberFormat="1" applyFont="1" applyFill="1" applyBorder="1" applyAlignment="1" applyProtection="1">
      <alignment horizontal="center" vertical="center"/>
      <protection locked="0"/>
    </xf>
    <xf numFmtId="165" fontId="8" fillId="5" borderId="10" xfId="3" applyNumberFormat="1" applyFont="1" applyFill="1" applyBorder="1" applyAlignment="1">
      <alignment horizontal="center" vertical="center"/>
    </xf>
    <xf numFmtId="49" fontId="8" fillId="5" borderId="3" xfId="3" applyNumberFormat="1" applyFont="1" applyFill="1" applyBorder="1" applyAlignment="1" applyProtection="1">
      <alignment vertical="center"/>
      <protection locked="0"/>
    </xf>
    <xf numFmtId="0" fontId="8" fillId="5" borderId="4" xfId="3" applyFont="1" applyFill="1" applyBorder="1" applyAlignment="1" applyProtection="1">
      <alignment horizontal="center" vertical="center"/>
      <protection locked="0"/>
    </xf>
    <xf numFmtId="44" fontId="8" fillId="5" borderId="4" xfId="1" applyFont="1" applyFill="1" applyBorder="1" applyAlignment="1" applyProtection="1">
      <alignment horizontal="center" vertical="center"/>
      <protection locked="0"/>
    </xf>
    <xf numFmtId="165" fontId="8" fillId="5" borderId="5" xfId="3" applyNumberFormat="1" applyFont="1" applyFill="1" applyBorder="1" applyAlignment="1">
      <alignment horizontal="center" vertical="center"/>
    </xf>
    <xf numFmtId="0" fontId="11" fillId="3" borderId="29" xfId="3" applyFont="1" applyFill="1" applyBorder="1" applyAlignment="1">
      <alignment horizontal="left" vertical="center"/>
    </xf>
    <xf numFmtId="0" fontId="11" fillId="3" borderId="29" xfId="3" applyFont="1" applyFill="1" applyBorder="1" applyAlignment="1">
      <alignment horizontal="center" vertical="center"/>
    </xf>
    <xf numFmtId="1" fontId="11" fillId="3" borderId="29" xfId="3" applyNumberFormat="1" applyFont="1" applyFill="1" applyBorder="1" applyAlignment="1">
      <alignment horizontal="center" vertical="center"/>
    </xf>
    <xf numFmtId="44" fontId="11" fillId="3" borderId="29" xfId="1" applyFont="1" applyFill="1" applyBorder="1" applyAlignment="1">
      <alignment horizontal="center" vertical="center"/>
    </xf>
    <xf numFmtId="165" fontId="11" fillId="3" borderId="30" xfId="3" applyNumberFormat="1" applyFont="1" applyFill="1" applyBorder="1" applyAlignment="1">
      <alignment horizontal="center" vertical="center"/>
    </xf>
    <xf numFmtId="49" fontId="8" fillId="0" borderId="19" xfId="3" applyNumberFormat="1" applyFont="1" applyBorder="1" applyAlignment="1" applyProtection="1">
      <alignment horizontal="center" vertical="center"/>
      <protection locked="0"/>
    </xf>
    <xf numFmtId="49" fontId="8" fillId="0" borderId="20" xfId="3" applyNumberFormat="1" applyFont="1" applyBorder="1" applyAlignment="1" applyProtection="1">
      <alignment horizontal="center" vertical="center"/>
      <protection locked="0"/>
    </xf>
    <xf numFmtId="0" fontId="11" fillId="3" borderId="31" xfId="3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7" fillId="0" borderId="7" xfId="1" applyFont="1" applyFill="1" applyBorder="1" applyAlignment="1" applyProtection="1">
      <alignment horizontal="center" vertical="center" wrapText="1"/>
      <protection locked="0"/>
    </xf>
    <xf numFmtId="0" fontId="9" fillId="4" borderId="12" xfId="3" applyFont="1" applyFill="1" applyBorder="1" applyAlignment="1" applyProtection="1">
      <alignment horizontal="right" vertical="center"/>
      <protection locked="0"/>
    </xf>
    <xf numFmtId="0" fontId="8" fillId="5" borderId="16" xfId="3" applyFont="1" applyFill="1" applyBorder="1" applyAlignment="1" applyProtection="1">
      <alignment vertical="center"/>
      <protection locked="0"/>
    </xf>
    <xf numFmtId="0" fontId="8" fillId="5" borderId="4" xfId="3" applyFont="1" applyFill="1" applyBorder="1" applyAlignment="1" applyProtection="1">
      <alignment vertical="center"/>
      <protection locked="0"/>
    </xf>
    <xf numFmtId="44" fontId="10" fillId="2" borderId="32" xfId="1" applyFont="1" applyFill="1" applyBorder="1" applyAlignment="1" applyProtection="1">
      <alignment horizontal="center" vertical="center" wrapText="1"/>
      <protection locked="0"/>
    </xf>
    <xf numFmtId="49" fontId="15" fillId="0" borderId="21" xfId="3" applyNumberFormat="1" applyFont="1" applyBorder="1" applyAlignment="1" applyProtection="1">
      <alignment horizontal="center" vertical="center"/>
      <protection locked="0"/>
    </xf>
    <xf numFmtId="49" fontId="13" fillId="6" borderId="18" xfId="3" applyNumberFormat="1" applyFont="1" applyFill="1" applyBorder="1" applyAlignment="1">
      <alignment horizontal="center" vertical="center"/>
    </xf>
    <xf numFmtId="0" fontId="13" fillId="6" borderId="14" xfId="3" applyFont="1" applyFill="1" applyBorder="1" applyAlignment="1" applyProtection="1">
      <alignment horizontal="left" vertical="center"/>
      <protection locked="0"/>
    </xf>
    <xf numFmtId="0" fontId="13" fillId="6" borderId="14" xfId="3" applyFont="1" applyFill="1" applyBorder="1" applyAlignment="1" applyProtection="1">
      <alignment horizontal="center" vertical="center"/>
      <protection locked="0"/>
    </xf>
    <xf numFmtId="1" fontId="13" fillId="6" borderId="14" xfId="3" applyNumberFormat="1" applyFont="1" applyFill="1" applyBorder="1" applyAlignment="1" applyProtection="1">
      <alignment horizontal="center" vertical="center"/>
      <protection locked="0"/>
    </xf>
    <xf numFmtId="44" fontId="13" fillId="6" borderId="29" xfId="1" applyFont="1" applyFill="1" applyBorder="1" applyAlignment="1">
      <alignment horizontal="center" vertical="center"/>
    </xf>
    <xf numFmtId="165" fontId="13" fillId="6" borderId="30" xfId="3" applyNumberFormat="1" applyFont="1" applyFill="1" applyBorder="1" applyAlignment="1">
      <alignment horizontal="center" vertical="center"/>
    </xf>
    <xf numFmtId="49" fontId="11" fillId="3" borderId="31" xfId="3" applyNumberFormat="1" applyFont="1" applyFill="1" applyBorder="1" applyAlignment="1">
      <alignment horizontal="center" vertical="center"/>
    </xf>
    <xf numFmtId="165" fontId="11" fillId="3" borderId="33" xfId="3" applyNumberFormat="1" applyFont="1" applyFill="1" applyBorder="1" applyAlignment="1">
      <alignment horizontal="center" vertical="center"/>
    </xf>
    <xf numFmtId="0" fontId="11" fillId="3" borderId="29" xfId="3" applyFont="1" applyFill="1" applyBorder="1" applyAlignment="1">
      <alignment vertical="center" wrapText="1"/>
    </xf>
    <xf numFmtId="0" fontId="8" fillId="0" borderId="34" xfId="3" applyFont="1" applyBorder="1" applyAlignment="1" applyProtection="1">
      <alignment vertical="center" wrapText="1"/>
      <protection locked="0"/>
    </xf>
    <xf numFmtId="0" fontId="7" fillId="0" borderId="35" xfId="3" applyBorder="1" applyAlignment="1" applyProtection="1">
      <alignment vertical="center"/>
      <protection locked="0"/>
    </xf>
    <xf numFmtId="0" fontId="7" fillId="0" borderId="36" xfId="3" applyBorder="1" applyAlignment="1" applyProtection="1">
      <alignment vertical="center"/>
      <protection locked="0"/>
    </xf>
    <xf numFmtId="0" fontId="8" fillId="0" borderId="37" xfId="3" applyFont="1" applyBorder="1" applyAlignment="1" applyProtection="1">
      <alignment vertical="center"/>
      <protection locked="0"/>
    </xf>
    <xf numFmtId="0" fontId="8" fillId="0" borderId="38" xfId="3" applyFont="1" applyBorder="1" applyAlignment="1" applyProtection="1">
      <alignment vertical="center"/>
      <protection locked="0"/>
    </xf>
    <xf numFmtId="0" fontId="8" fillId="0" borderId="39" xfId="3" applyFont="1" applyBorder="1" applyAlignment="1" applyProtection="1">
      <alignment vertical="center"/>
      <protection locked="0"/>
    </xf>
    <xf numFmtId="44" fontId="10" fillId="7" borderId="2" xfId="1" applyFont="1" applyFill="1" applyBorder="1" applyAlignment="1" applyProtection="1">
      <alignment horizontal="center" vertical="center" wrapText="1"/>
      <protection locked="0"/>
    </xf>
    <xf numFmtId="0" fontId="7" fillId="7" borderId="35" xfId="3" applyFill="1" applyBorder="1" applyAlignment="1" applyProtection="1">
      <alignment vertical="center"/>
      <protection locked="0"/>
    </xf>
    <xf numFmtId="44" fontId="11" fillId="8" borderId="4" xfId="1" applyFont="1" applyFill="1" applyBorder="1" applyAlignment="1" applyProtection="1">
      <alignment horizontal="center" vertical="center"/>
      <protection locked="0"/>
    </xf>
    <xf numFmtId="1" fontId="7" fillId="7" borderId="7" xfId="1" applyNumberFormat="1" applyFont="1" applyFill="1" applyBorder="1" applyAlignment="1" applyProtection="1">
      <alignment horizontal="center" vertical="center" wrapText="1"/>
      <protection locked="0"/>
    </xf>
    <xf numFmtId="44" fontId="9" fillId="7" borderId="12" xfId="1" applyFont="1" applyFill="1" applyBorder="1" applyAlignment="1" applyProtection="1">
      <alignment horizontal="center" vertical="center"/>
      <protection locked="0"/>
    </xf>
    <xf numFmtId="0" fontId="8" fillId="7" borderId="38" xfId="3" applyFont="1" applyFill="1" applyBorder="1" applyAlignment="1" applyProtection="1">
      <alignment vertical="center"/>
      <protection locked="0"/>
    </xf>
    <xf numFmtId="44" fontId="11" fillId="8" borderId="29" xfId="1" applyFont="1" applyFill="1" applyBorder="1" applyAlignment="1">
      <alignment horizontal="center" vertical="center"/>
    </xf>
    <xf numFmtId="49" fontId="8" fillId="7" borderId="20" xfId="3" applyNumberFormat="1" applyFont="1" applyFill="1" applyBorder="1" applyAlignment="1" applyProtection="1">
      <alignment horizontal="center" vertical="center"/>
      <protection locked="0"/>
    </xf>
    <xf numFmtId="44" fontId="13" fillId="8" borderId="29" xfId="1" applyFont="1" applyFill="1" applyBorder="1" applyAlignment="1">
      <alignment horizontal="center" vertical="center"/>
    </xf>
    <xf numFmtId="44" fontId="8" fillId="7" borderId="16" xfId="1" applyFont="1" applyFill="1" applyBorder="1" applyAlignment="1" applyProtection="1">
      <alignment horizontal="center" vertical="center"/>
      <protection locked="0"/>
    </xf>
    <xf numFmtId="10" fontId="8" fillId="7" borderId="14" xfId="5" applyNumberFormat="1" applyFont="1" applyFill="1" applyBorder="1" applyAlignment="1" applyProtection="1">
      <alignment horizontal="center" vertical="center"/>
      <protection locked="0"/>
    </xf>
    <xf numFmtId="44" fontId="8" fillId="7" borderId="4" xfId="1" applyFont="1" applyFill="1" applyBorder="1" applyAlignment="1" applyProtection="1">
      <alignment horizontal="center" vertical="center"/>
      <protection locked="0"/>
    </xf>
    <xf numFmtId="0" fontId="0" fillId="7" borderId="0" xfId="0" applyFill="1" applyAlignment="1">
      <alignment vertical="center"/>
    </xf>
    <xf numFmtId="0" fontId="12" fillId="0" borderId="7" xfId="3" applyFont="1" applyBorder="1" applyAlignment="1">
      <alignment horizontal="left" vertical="center" wrapText="1"/>
    </xf>
    <xf numFmtId="0" fontId="7" fillId="0" borderId="7" xfId="3" applyBorder="1" applyAlignment="1">
      <alignment horizontal="center" vertical="center" wrapText="1"/>
    </xf>
    <xf numFmtId="1" fontId="7" fillId="0" borderId="7" xfId="3" applyNumberFormat="1" applyBorder="1" applyAlignment="1">
      <alignment horizontal="center" vertical="center" wrapText="1"/>
    </xf>
    <xf numFmtId="0" fontId="7" fillId="0" borderId="7" xfId="1" applyNumberFormat="1" applyFont="1" applyFill="1" applyBorder="1" applyAlignment="1" applyProtection="1">
      <alignment horizontal="center" vertical="center" wrapText="1"/>
      <protection locked="0"/>
    </xf>
    <xf numFmtId="165" fontId="7" fillId="0" borderId="8" xfId="3" applyNumberFormat="1" applyBorder="1" applyAlignment="1">
      <alignment horizontal="center" vertical="center" wrapText="1"/>
    </xf>
    <xf numFmtId="1" fontId="4" fillId="0" borderId="27" xfId="3" applyNumberFormat="1" applyFont="1" applyBorder="1" applyAlignment="1">
      <alignment horizontal="center" vertical="center" wrapText="1"/>
    </xf>
    <xf numFmtId="1" fontId="5" fillId="0" borderId="27" xfId="3" applyNumberFormat="1" applyFont="1" applyBorder="1" applyAlignment="1">
      <alignment horizontal="center" vertical="center" wrapText="1"/>
    </xf>
    <xf numFmtId="0" fontId="7" fillId="0" borderId="27" xfId="1" applyNumberFormat="1" applyFont="1" applyFill="1" applyBorder="1" applyAlignment="1">
      <alignment horizontal="center" vertical="center" wrapText="1"/>
    </xf>
    <xf numFmtId="44" fontId="7" fillId="0" borderId="27" xfId="1" applyFont="1" applyFill="1" applyBorder="1" applyAlignment="1">
      <alignment horizontal="center" vertical="center" wrapText="1"/>
    </xf>
    <xf numFmtId="1" fontId="7" fillId="0" borderId="27" xfId="1" applyNumberFormat="1" applyFont="1" applyFill="1" applyBorder="1" applyAlignment="1">
      <alignment horizontal="center" vertical="center" wrapText="1"/>
    </xf>
    <xf numFmtId="1" fontId="7" fillId="0" borderId="7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40" xfId="3" applyFont="1" applyBorder="1" applyAlignment="1">
      <alignment horizontal="left" vertical="center" wrapText="1"/>
    </xf>
    <xf numFmtId="0" fontId="12" fillId="0" borderId="41" xfId="3" applyFont="1" applyBorder="1" applyAlignment="1">
      <alignment horizontal="left" vertical="center" wrapText="1"/>
    </xf>
    <xf numFmtId="0" fontId="12" fillId="0" borderId="42" xfId="3" applyFont="1" applyBorder="1" applyAlignment="1">
      <alignment horizontal="left" vertical="center" wrapText="1"/>
    </xf>
    <xf numFmtId="1" fontId="7" fillId="0" borderId="41" xfId="3" applyNumberFormat="1" applyBorder="1" applyAlignment="1">
      <alignment horizontal="center" vertical="center" wrapText="1"/>
    </xf>
    <xf numFmtId="44" fontId="7" fillId="0" borderId="41" xfId="1" applyFont="1" applyFill="1" applyBorder="1" applyAlignment="1" applyProtection="1">
      <alignment horizontal="center" vertical="center" wrapText="1"/>
      <protection locked="0"/>
    </xf>
    <xf numFmtId="1" fontId="3" fillId="0" borderId="27" xfId="3" applyNumberFormat="1" applyFont="1" applyBorder="1" applyAlignment="1">
      <alignment horizontal="center" vertical="center" wrapText="1"/>
    </xf>
    <xf numFmtId="44" fontId="3" fillId="0" borderId="27" xfId="1" applyFont="1" applyFill="1" applyBorder="1" applyAlignment="1">
      <alignment horizontal="center" vertical="center" wrapText="1"/>
    </xf>
    <xf numFmtId="1" fontId="16" fillId="0" borderId="27" xfId="3" applyNumberFormat="1" applyFont="1" applyBorder="1" applyAlignment="1">
      <alignment horizontal="left" vertical="center" wrapText="1"/>
    </xf>
    <xf numFmtId="0" fontId="3" fillId="0" borderId="40" xfId="3" applyFont="1" applyBorder="1" applyAlignment="1">
      <alignment horizontal="center" vertical="center" wrapText="1"/>
    </xf>
    <xf numFmtId="0" fontId="7" fillId="9" borderId="35" xfId="3" applyFill="1" applyBorder="1" applyAlignment="1" applyProtection="1">
      <alignment vertical="center"/>
      <protection locked="0"/>
    </xf>
    <xf numFmtId="1" fontId="11" fillId="3" borderId="44" xfId="3" applyNumberFormat="1" applyFont="1" applyFill="1" applyBorder="1" applyAlignment="1">
      <alignment horizontal="center" vertical="center"/>
    </xf>
    <xf numFmtId="49" fontId="9" fillId="9" borderId="45" xfId="3" applyNumberFormat="1" applyFont="1" applyFill="1" applyBorder="1" applyAlignment="1" applyProtection="1">
      <alignment horizontal="left" vertical="center"/>
      <protection locked="0"/>
    </xf>
    <xf numFmtId="0" fontId="9" fillId="9" borderId="0" xfId="3" applyFont="1" applyFill="1" applyAlignment="1" applyProtection="1">
      <alignment horizontal="right" vertical="center"/>
      <protection locked="0"/>
    </xf>
    <xf numFmtId="0" fontId="9" fillId="9" borderId="0" xfId="3" applyFont="1" applyFill="1" applyAlignment="1" applyProtection="1">
      <alignment horizontal="center" vertical="center"/>
      <protection locked="0"/>
    </xf>
    <xf numFmtId="44" fontId="9" fillId="9" borderId="0" xfId="1" applyFont="1" applyFill="1" applyBorder="1" applyAlignment="1" applyProtection="1">
      <alignment horizontal="center" vertical="center"/>
      <protection locked="0"/>
    </xf>
    <xf numFmtId="165" fontId="9" fillId="9" borderId="43" xfId="3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49" fontId="2" fillId="0" borderId="6" xfId="3" applyNumberFormat="1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1" fontId="2" fillId="0" borderId="27" xfId="3" applyNumberFormat="1" applyFont="1" applyBorder="1" applyAlignment="1">
      <alignment horizontal="center" vertical="center" wrapText="1"/>
    </xf>
    <xf numFmtId="49" fontId="15" fillId="0" borderId="20" xfId="3" applyNumberFormat="1" applyFont="1" applyBorder="1" applyAlignment="1" applyProtection="1">
      <alignment horizontal="center" vertical="center"/>
      <protection locked="0"/>
    </xf>
    <xf numFmtId="165" fontId="7" fillId="0" borderId="46" xfId="3" applyNumberFormat="1" applyBorder="1" applyAlignment="1">
      <alignment horizontal="center" vertical="center" wrapText="1"/>
    </xf>
    <xf numFmtId="165" fontId="7" fillId="0" borderId="28" xfId="3" applyNumberFormat="1" applyBorder="1" applyAlignment="1">
      <alignment horizontal="center" vertical="center" wrapText="1"/>
    </xf>
    <xf numFmtId="165" fontId="7" fillId="0" borderId="47" xfId="3" applyNumberFormat="1" applyBorder="1" applyAlignment="1">
      <alignment horizontal="center" vertical="center" wrapText="1"/>
    </xf>
    <xf numFmtId="44" fontId="7" fillId="0" borderId="48" xfId="1" applyFont="1" applyFill="1" applyBorder="1" applyAlignment="1" applyProtection="1">
      <alignment horizontal="center" vertical="center" wrapText="1"/>
      <protection locked="0"/>
    </xf>
    <xf numFmtId="44" fontId="7" fillId="0" borderId="27" xfId="1" applyFont="1" applyFill="1" applyBorder="1" applyAlignment="1" applyProtection="1">
      <alignment horizontal="center" vertical="center" wrapText="1"/>
      <protection locked="0"/>
    </xf>
    <xf numFmtId="1" fontId="7" fillId="0" borderId="27" xfId="1" applyNumberFormat="1" applyFont="1" applyFill="1" applyBorder="1" applyAlignment="1" applyProtection="1">
      <alignment horizontal="center" vertical="center" wrapText="1"/>
      <protection locked="0"/>
    </xf>
    <xf numFmtId="1" fontId="7" fillId="0" borderId="49" xfId="3" applyNumberFormat="1" applyBorder="1" applyAlignment="1">
      <alignment horizontal="center" vertical="center" wrapText="1"/>
    </xf>
    <xf numFmtId="1" fontId="7" fillId="0" borderId="50" xfId="3" applyNumberFormat="1" applyBorder="1" applyAlignment="1">
      <alignment horizontal="center" vertical="center" wrapText="1"/>
    </xf>
    <xf numFmtId="0" fontId="12" fillId="0" borderId="27" xfId="3" applyFont="1" applyBorder="1" applyAlignment="1">
      <alignment horizontal="left" vertical="center" wrapText="1"/>
    </xf>
    <xf numFmtId="0" fontId="2" fillId="0" borderId="27" xfId="3" applyFont="1" applyBorder="1" applyAlignment="1">
      <alignment horizontal="center" vertical="center" wrapText="1"/>
    </xf>
    <xf numFmtId="1" fontId="7" fillId="0" borderId="27" xfId="3" applyNumberFormat="1" applyBorder="1" applyAlignment="1">
      <alignment horizontal="center" vertical="center" wrapText="1"/>
    </xf>
    <xf numFmtId="0" fontId="7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50" xfId="3" applyFont="1" applyBorder="1" applyAlignment="1">
      <alignment horizontal="left" vertical="center" wrapText="1"/>
    </xf>
    <xf numFmtId="0" fontId="2" fillId="0" borderId="51" xfId="3" applyFont="1" applyBorder="1" applyAlignment="1">
      <alignment horizontal="center" vertical="center" wrapText="1"/>
    </xf>
    <xf numFmtId="49" fontId="1" fillId="0" borderId="6" xfId="3" applyNumberFormat="1" applyFont="1" applyBorder="1" applyAlignment="1">
      <alignment horizontal="center" vertical="center" wrapText="1"/>
    </xf>
    <xf numFmtId="0" fontId="1" fillId="0" borderId="7" xfId="3" applyFont="1" applyBorder="1" applyAlignment="1">
      <alignment horizontal="center" vertical="center" wrapText="1"/>
    </xf>
    <xf numFmtId="0" fontId="12" fillId="0" borderId="49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left" vertical="center" wrapText="1"/>
    </xf>
    <xf numFmtId="0" fontId="3" fillId="0" borderId="27" xfId="3" applyFont="1" applyBorder="1" applyAlignment="1">
      <alignment horizontal="center" vertical="center" wrapText="1"/>
    </xf>
    <xf numFmtId="49" fontId="1" fillId="0" borderId="52" xfId="3" applyNumberFormat="1" applyFont="1" applyBorder="1" applyAlignment="1">
      <alignment horizontal="center" vertical="center" wrapText="1"/>
    </xf>
    <xf numFmtId="49" fontId="1" fillId="0" borderId="26" xfId="3" applyNumberFormat="1" applyFont="1" applyBorder="1" applyAlignment="1">
      <alignment horizontal="center" vertical="center" wrapText="1"/>
    </xf>
    <xf numFmtId="0" fontId="16" fillId="0" borderId="48" xfId="3" applyFont="1" applyBorder="1" applyAlignment="1">
      <alignment horizontal="left" vertical="center" wrapText="1"/>
    </xf>
    <xf numFmtId="1" fontId="7" fillId="0" borderId="48" xfId="3" applyNumberFormat="1" applyBorder="1" applyAlignment="1">
      <alignment horizontal="center" vertical="center" wrapText="1"/>
    </xf>
    <xf numFmtId="1" fontId="7" fillId="7" borderId="48" xfId="1" applyNumberFormat="1" applyFont="1" applyFill="1" applyBorder="1" applyAlignment="1" applyProtection="1">
      <alignment horizontal="center" vertical="center" wrapText="1"/>
      <protection locked="0"/>
    </xf>
    <xf numFmtId="1" fontId="7" fillId="7" borderId="27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48" xfId="3" applyFont="1" applyBorder="1" applyAlignment="1">
      <alignment horizontal="center" vertical="center" wrapText="1"/>
    </xf>
    <xf numFmtId="1" fontId="7" fillId="0" borderId="48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48" xfId="3" applyFont="1" applyBorder="1" applyAlignment="1">
      <alignment horizontal="center" vertical="center" wrapText="1"/>
    </xf>
    <xf numFmtId="0" fontId="1" fillId="0" borderId="27" xfId="3" applyFont="1" applyBorder="1" applyAlignment="1">
      <alignment horizontal="center" vertical="center" wrapText="1"/>
    </xf>
    <xf numFmtId="0" fontId="1" fillId="0" borderId="40" xfId="3" applyFont="1" applyBorder="1" applyAlignment="1">
      <alignment horizontal="center" vertical="center" wrapText="1"/>
    </xf>
    <xf numFmtId="165" fontId="7" fillId="0" borderId="54" xfId="3" applyNumberFormat="1" applyBorder="1" applyAlignment="1">
      <alignment horizontal="center" vertical="center" wrapText="1"/>
    </xf>
    <xf numFmtId="1" fontId="1" fillId="0" borderId="27" xfId="3" applyNumberFormat="1" applyFont="1" applyBorder="1" applyAlignment="1">
      <alignment horizontal="center" vertical="center" wrapText="1"/>
    </xf>
    <xf numFmtId="1" fontId="7" fillId="0" borderId="51" xfId="3" applyNumberFormat="1" applyBorder="1" applyAlignment="1">
      <alignment horizontal="center" vertical="center" wrapText="1"/>
    </xf>
    <xf numFmtId="0" fontId="7" fillId="0" borderId="51" xfId="1" applyNumberFormat="1" applyFont="1" applyFill="1" applyBorder="1" applyAlignment="1" applyProtection="1">
      <alignment horizontal="center" vertical="center" wrapText="1"/>
      <protection locked="0"/>
    </xf>
    <xf numFmtId="44" fontId="7" fillId="0" borderId="51" xfId="1" applyFont="1" applyFill="1" applyBorder="1" applyAlignment="1" applyProtection="1">
      <alignment horizontal="center" vertical="center" wrapText="1"/>
      <protection locked="0"/>
    </xf>
    <xf numFmtId="0" fontId="12" fillId="0" borderId="55" xfId="3" applyFont="1" applyBorder="1" applyAlignment="1">
      <alignment horizontal="left" vertical="center" wrapText="1"/>
    </xf>
    <xf numFmtId="49" fontId="1" fillId="0" borderId="56" xfId="3" applyNumberFormat="1" applyFont="1" applyBorder="1" applyAlignment="1">
      <alignment horizontal="center" vertical="center" wrapText="1"/>
    </xf>
    <xf numFmtId="165" fontId="7" fillId="0" borderId="57" xfId="3" applyNumberFormat="1" applyBorder="1" applyAlignment="1">
      <alignment horizontal="center" vertical="center" wrapText="1"/>
    </xf>
    <xf numFmtId="165" fontId="7" fillId="0" borderId="53" xfId="3" applyNumberFormat="1" applyBorder="1" applyAlignment="1">
      <alignment horizontal="center" vertical="center" wrapText="1"/>
    </xf>
    <xf numFmtId="49" fontId="8" fillId="5" borderId="9" xfId="3" applyNumberFormat="1" applyFont="1" applyFill="1" applyBorder="1" applyAlignment="1" applyProtection="1">
      <alignment horizontal="left" vertical="center"/>
      <protection locked="0"/>
    </xf>
    <xf numFmtId="49" fontId="8" fillId="5" borderId="25" xfId="3" applyNumberFormat="1" applyFont="1" applyFill="1" applyBorder="1" applyAlignment="1" applyProtection="1">
      <alignment horizontal="left" vertical="center"/>
      <protection locked="0"/>
    </xf>
    <xf numFmtId="0" fontId="14" fillId="0" borderId="22" xfId="3" applyFont="1" applyBorder="1" applyAlignment="1" applyProtection="1">
      <alignment horizontal="center" vertical="center" wrapText="1"/>
      <protection locked="0"/>
    </xf>
    <xf numFmtId="0" fontId="14" fillId="0" borderId="23" xfId="3" applyFont="1" applyBorder="1" applyAlignment="1" applyProtection="1">
      <alignment horizontal="center" vertical="center" wrapText="1"/>
      <protection locked="0"/>
    </xf>
    <xf numFmtId="0" fontId="14" fillId="0" borderId="24" xfId="3" applyFont="1" applyBorder="1" applyAlignment="1" applyProtection="1">
      <alignment horizontal="center" vertical="center" wrapText="1"/>
      <protection locked="0"/>
    </xf>
  </cellXfs>
  <cellStyles count="6">
    <cellStyle name="Monétaire 2" xfId="1" xr:uid="{00000000-0005-0000-0000-000000000000}"/>
    <cellStyle name="Monétaire 3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ourcentag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190500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190500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5" name="Text Box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19" name="Text Box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3" name="Text Box 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161925</xdr:rowOff>
    </xdr:to>
    <xdr:sp macro="" textlink="">
      <xdr:nvSpPr>
        <xdr:cNvPr id="28" name="Text Box 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161925</xdr:rowOff>
    </xdr:to>
    <xdr:sp macro="" textlink="">
      <xdr:nvSpPr>
        <xdr:cNvPr id="29" name="Text Box 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3286125" y="96583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38" name="Text Box 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39" name="Text Box 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3286125" y="75342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48" name="Text Box 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49" name="Text Box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38100</xdr:rowOff>
    </xdr:to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161925</xdr:rowOff>
    </xdr:to>
    <xdr:sp macro="" textlink="">
      <xdr:nvSpPr>
        <xdr:cNvPr id="58" name="Text Box 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0</xdr:row>
      <xdr:rowOff>0</xdr:rowOff>
    </xdr:from>
    <xdr:to>
      <xdr:col>1</xdr:col>
      <xdr:colOff>2524125</xdr:colOff>
      <xdr:row>0</xdr:row>
      <xdr:rowOff>161925</xdr:rowOff>
    </xdr:to>
    <xdr:sp macro="" textlink="">
      <xdr:nvSpPr>
        <xdr:cNvPr id="59" name="Text Box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3286125" y="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3286125" y="10610850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68" name="Text Box 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69" name="Text Box 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41</xdr:row>
      <xdr:rowOff>0</xdr:rowOff>
    </xdr:from>
    <xdr:to>
      <xdr:col>1</xdr:col>
      <xdr:colOff>2524125</xdr:colOff>
      <xdr:row>41</xdr:row>
      <xdr:rowOff>38100</xdr:rowOff>
    </xdr:to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3286125" y="772477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78" name="Text Box 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9</xdr:row>
      <xdr:rowOff>0</xdr:rowOff>
    </xdr:from>
    <xdr:to>
      <xdr:col>1</xdr:col>
      <xdr:colOff>2524125</xdr:colOff>
      <xdr:row>9</xdr:row>
      <xdr:rowOff>209550</xdr:rowOff>
    </xdr:to>
    <xdr:sp macro="" textlink="">
      <xdr:nvSpPr>
        <xdr:cNvPr id="79" name="Text Box 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3286125" y="1781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2524125</xdr:colOff>
      <xdr:row>54</xdr:row>
      <xdr:rowOff>0</xdr:rowOff>
    </xdr:from>
    <xdr:to>
      <xdr:col>1</xdr:col>
      <xdr:colOff>2524125</xdr:colOff>
      <xdr:row>54</xdr:row>
      <xdr:rowOff>38100</xdr:rowOff>
    </xdr:to>
    <xdr:sp macro="" textlink="">
      <xdr:nvSpPr>
        <xdr:cNvPr id="87" name="Text Box 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3286125" y="9458325"/>
          <a:ext cx="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04" name="Text Box 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05" name="Text Box 8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06" name="Text Box 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07" name="Text Box 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08" name="Text Box 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09" name="Text Box 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10" name="Text Box 7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17</xdr:row>
      <xdr:rowOff>0</xdr:rowOff>
    </xdr:from>
    <xdr:ext cx="0" cy="209550"/>
    <xdr:sp macro="" textlink="">
      <xdr:nvSpPr>
        <xdr:cNvPr id="111" name="Text Box 8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96" name="Text Box 7">
          <a:extLst>
            <a:ext uri="{FF2B5EF4-FFF2-40B4-BE49-F238E27FC236}">
              <a16:creationId xmlns:a16="http://schemas.microsoft.com/office/drawing/2014/main" id="{9F43A244-6FA8-4543-BFB5-31DC26F5AA4B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97" name="Text Box 8">
          <a:extLst>
            <a:ext uri="{FF2B5EF4-FFF2-40B4-BE49-F238E27FC236}">
              <a16:creationId xmlns:a16="http://schemas.microsoft.com/office/drawing/2014/main" id="{EC98331C-28C2-4B36-8A45-D1BB85B01EEE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98" name="Text Box 7">
          <a:extLst>
            <a:ext uri="{FF2B5EF4-FFF2-40B4-BE49-F238E27FC236}">
              <a16:creationId xmlns:a16="http://schemas.microsoft.com/office/drawing/2014/main" id="{68B2F474-F219-439B-A541-DABA21E8CF41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99" name="Text Box 8">
          <a:extLst>
            <a:ext uri="{FF2B5EF4-FFF2-40B4-BE49-F238E27FC236}">
              <a16:creationId xmlns:a16="http://schemas.microsoft.com/office/drawing/2014/main" id="{22897691-19CB-4312-B9B6-F3CCE697D201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00" name="Text Box 7">
          <a:extLst>
            <a:ext uri="{FF2B5EF4-FFF2-40B4-BE49-F238E27FC236}">
              <a16:creationId xmlns:a16="http://schemas.microsoft.com/office/drawing/2014/main" id="{465FA8FD-9CAC-416B-BD29-36404C8128EC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01" name="Text Box 8">
          <a:extLst>
            <a:ext uri="{FF2B5EF4-FFF2-40B4-BE49-F238E27FC236}">
              <a16:creationId xmlns:a16="http://schemas.microsoft.com/office/drawing/2014/main" id="{839A843A-F473-4B60-922C-ADA97883B0BF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02" name="Text Box 7">
          <a:extLst>
            <a:ext uri="{FF2B5EF4-FFF2-40B4-BE49-F238E27FC236}">
              <a16:creationId xmlns:a16="http://schemas.microsoft.com/office/drawing/2014/main" id="{B62D514A-C1CC-4AD9-9A6A-0EA459847213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03" name="Text Box 8">
          <a:extLst>
            <a:ext uri="{FF2B5EF4-FFF2-40B4-BE49-F238E27FC236}">
              <a16:creationId xmlns:a16="http://schemas.microsoft.com/office/drawing/2014/main" id="{F1C281ED-F281-4380-ADC7-0A2CE7A7E113}"/>
            </a:ext>
          </a:extLst>
        </xdr:cNvPr>
        <xdr:cNvSpPr txBox="1">
          <a:spLocks noChangeArrowheads="1"/>
        </xdr:cNvSpPr>
      </xdr:nvSpPr>
      <xdr:spPr bwMode="auto">
        <a:xfrm>
          <a:off x="3286125" y="29622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2" name="Text Box 7">
          <a:extLst>
            <a:ext uri="{FF2B5EF4-FFF2-40B4-BE49-F238E27FC236}">
              <a16:creationId xmlns:a16="http://schemas.microsoft.com/office/drawing/2014/main" id="{1B9148EA-8A83-4E8C-9632-06B77E4C9481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3" name="Text Box 8">
          <a:extLst>
            <a:ext uri="{FF2B5EF4-FFF2-40B4-BE49-F238E27FC236}">
              <a16:creationId xmlns:a16="http://schemas.microsoft.com/office/drawing/2014/main" id="{A780E2B8-F467-4996-8E81-EFD46C2578BC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4" name="Text Box 7">
          <a:extLst>
            <a:ext uri="{FF2B5EF4-FFF2-40B4-BE49-F238E27FC236}">
              <a16:creationId xmlns:a16="http://schemas.microsoft.com/office/drawing/2014/main" id="{BA2ED2FF-B82D-4692-9A79-3CA35566E104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5" name="Text Box 8">
          <a:extLst>
            <a:ext uri="{FF2B5EF4-FFF2-40B4-BE49-F238E27FC236}">
              <a16:creationId xmlns:a16="http://schemas.microsoft.com/office/drawing/2014/main" id="{05C19D59-27CD-4C6C-879F-84268698E1AE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6" name="Text Box 7">
          <a:extLst>
            <a:ext uri="{FF2B5EF4-FFF2-40B4-BE49-F238E27FC236}">
              <a16:creationId xmlns:a16="http://schemas.microsoft.com/office/drawing/2014/main" id="{0AD359AB-EA3F-42BA-818F-D16BC62F282F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7" name="Text Box 8">
          <a:extLst>
            <a:ext uri="{FF2B5EF4-FFF2-40B4-BE49-F238E27FC236}">
              <a16:creationId xmlns:a16="http://schemas.microsoft.com/office/drawing/2014/main" id="{2C32A9BB-5E59-4E4D-B561-D0526FCF3B9D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8" name="Text Box 7">
          <a:extLst>
            <a:ext uri="{FF2B5EF4-FFF2-40B4-BE49-F238E27FC236}">
              <a16:creationId xmlns:a16="http://schemas.microsoft.com/office/drawing/2014/main" id="{2FB23295-FC80-49DA-B942-6988DFD31447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41</xdr:row>
      <xdr:rowOff>0</xdr:rowOff>
    </xdr:from>
    <xdr:ext cx="0" cy="209550"/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35FC8D38-600D-4BF5-BBB0-B337500FFB6D}"/>
            </a:ext>
          </a:extLst>
        </xdr:cNvPr>
        <xdr:cNvSpPr txBox="1">
          <a:spLocks noChangeArrowheads="1"/>
        </xdr:cNvSpPr>
      </xdr:nvSpPr>
      <xdr:spPr bwMode="auto">
        <a:xfrm>
          <a:off x="3286125" y="69246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0" name="Text Box 7">
          <a:extLst>
            <a:ext uri="{FF2B5EF4-FFF2-40B4-BE49-F238E27FC236}">
              <a16:creationId xmlns:a16="http://schemas.microsoft.com/office/drawing/2014/main" id="{6856329F-0A04-49A1-9FE7-9159860E9C14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1" name="Text Box 8">
          <a:extLst>
            <a:ext uri="{FF2B5EF4-FFF2-40B4-BE49-F238E27FC236}">
              <a16:creationId xmlns:a16="http://schemas.microsoft.com/office/drawing/2014/main" id="{D6893BF2-A6C5-43F0-8848-1E3B409D6DD1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2" name="Text Box 7">
          <a:extLst>
            <a:ext uri="{FF2B5EF4-FFF2-40B4-BE49-F238E27FC236}">
              <a16:creationId xmlns:a16="http://schemas.microsoft.com/office/drawing/2014/main" id="{47E3B8E4-454B-4539-BE9F-0E467E63A633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3" name="Text Box 8">
          <a:extLst>
            <a:ext uri="{FF2B5EF4-FFF2-40B4-BE49-F238E27FC236}">
              <a16:creationId xmlns:a16="http://schemas.microsoft.com/office/drawing/2014/main" id="{8CF81484-455E-4BE9-B5F3-2133BD7B6B1A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4" name="Text Box 7">
          <a:extLst>
            <a:ext uri="{FF2B5EF4-FFF2-40B4-BE49-F238E27FC236}">
              <a16:creationId xmlns:a16="http://schemas.microsoft.com/office/drawing/2014/main" id="{7B07B086-7B5C-4FF0-9D60-0A43CFDEAAB1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5" name="Text Box 8">
          <a:extLst>
            <a:ext uri="{FF2B5EF4-FFF2-40B4-BE49-F238E27FC236}">
              <a16:creationId xmlns:a16="http://schemas.microsoft.com/office/drawing/2014/main" id="{61A02A1F-5E90-4AE7-88BA-B2D6311BAEF9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6" name="Text Box 7">
          <a:extLst>
            <a:ext uri="{FF2B5EF4-FFF2-40B4-BE49-F238E27FC236}">
              <a16:creationId xmlns:a16="http://schemas.microsoft.com/office/drawing/2014/main" id="{2DBADAF4-D290-48FE-919D-D20CA1D5C45A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36</xdr:row>
      <xdr:rowOff>0</xdr:rowOff>
    </xdr:from>
    <xdr:ext cx="0" cy="209550"/>
    <xdr:sp macro="" textlink="">
      <xdr:nvSpPr>
        <xdr:cNvPr id="127" name="Text Box 8">
          <a:extLst>
            <a:ext uri="{FF2B5EF4-FFF2-40B4-BE49-F238E27FC236}">
              <a16:creationId xmlns:a16="http://schemas.microsoft.com/office/drawing/2014/main" id="{DC25B1BA-FEF7-402C-AC70-877D5E82F015}"/>
            </a:ext>
          </a:extLst>
        </xdr:cNvPr>
        <xdr:cNvSpPr txBox="1">
          <a:spLocks noChangeArrowheads="1"/>
        </xdr:cNvSpPr>
      </xdr:nvSpPr>
      <xdr:spPr bwMode="auto">
        <a:xfrm>
          <a:off x="3286125" y="27432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28" name="Text Box 7">
          <a:extLst>
            <a:ext uri="{FF2B5EF4-FFF2-40B4-BE49-F238E27FC236}">
              <a16:creationId xmlns:a16="http://schemas.microsoft.com/office/drawing/2014/main" id="{E65019B5-410C-4015-BA42-960E2F3F596B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29" name="Text Box 8">
          <a:extLst>
            <a:ext uri="{FF2B5EF4-FFF2-40B4-BE49-F238E27FC236}">
              <a16:creationId xmlns:a16="http://schemas.microsoft.com/office/drawing/2014/main" id="{FB5B0FF4-F954-432C-83FF-5ABBDC7A0C77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0" name="Text Box 7">
          <a:extLst>
            <a:ext uri="{FF2B5EF4-FFF2-40B4-BE49-F238E27FC236}">
              <a16:creationId xmlns:a16="http://schemas.microsoft.com/office/drawing/2014/main" id="{C418278F-1575-4523-9E55-8C98D3C64E95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1" name="Text Box 8">
          <a:extLst>
            <a:ext uri="{FF2B5EF4-FFF2-40B4-BE49-F238E27FC236}">
              <a16:creationId xmlns:a16="http://schemas.microsoft.com/office/drawing/2014/main" id="{A49CCA52-D3C6-4F25-B1EF-0D2BF963C21F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2" name="Text Box 7">
          <a:extLst>
            <a:ext uri="{FF2B5EF4-FFF2-40B4-BE49-F238E27FC236}">
              <a16:creationId xmlns:a16="http://schemas.microsoft.com/office/drawing/2014/main" id="{D2E1161D-7A9C-425B-A159-4A383B307A22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3" name="Text Box 8">
          <a:extLst>
            <a:ext uri="{FF2B5EF4-FFF2-40B4-BE49-F238E27FC236}">
              <a16:creationId xmlns:a16="http://schemas.microsoft.com/office/drawing/2014/main" id="{F9D749A1-3B70-4238-B456-B19704D56BE4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C4A04F98-657F-4428-9FE1-DA5B20D6C83C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43E09F69-967C-484F-972A-CBD2E03D5DC8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6" name="Text Box 7">
          <a:extLst>
            <a:ext uri="{FF2B5EF4-FFF2-40B4-BE49-F238E27FC236}">
              <a16:creationId xmlns:a16="http://schemas.microsoft.com/office/drawing/2014/main" id="{23C779A1-65B9-451D-BF2D-3085666B266F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7" name="Text Box 8">
          <a:extLst>
            <a:ext uri="{FF2B5EF4-FFF2-40B4-BE49-F238E27FC236}">
              <a16:creationId xmlns:a16="http://schemas.microsoft.com/office/drawing/2014/main" id="{F7A244E9-9480-4A55-95E2-8F77F8820D51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8" name="Text Box 7">
          <a:extLst>
            <a:ext uri="{FF2B5EF4-FFF2-40B4-BE49-F238E27FC236}">
              <a16:creationId xmlns:a16="http://schemas.microsoft.com/office/drawing/2014/main" id="{00230343-C1A4-401C-B1C4-01C623699816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39" name="Text Box 8">
          <a:extLst>
            <a:ext uri="{FF2B5EF4-FFF2-40B4-BE49-F238E27FC236}">
              <a16:creationId xmlns:a16="http://schemas.microsoft.com/office/drawing/2014/main" id="{B5A71FEA-F62E-412D-8B9D-FFA9DB324A0D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0" name="Text Box 7">
          <a:extLst>
            <a:ext uri="{FF2B5EF4-FFF2-40B4-BE49-F238E27FC236}">
              <a16:creationId xmlns:a16="http://schemas.microsoft.com/office/drawing/2014/main" id="{034E24B1-2C69-413A-A51A-2629421C36ED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1" name="Text Box 8">
          <a:extLst>
            <a:ext uri="{FF2B5EF4-FFF2-40B4-BE49-F238E27FC236}">
              <a16:creationId xmlns:a16="http://schemas.microsoft.com/office/drawing/2014/main" id="{7CDAD61F-BB50-4B59-A7B3-CC54F1B78EA0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2" name="Text Box 7">
          <a:extLst>
            <a:ext uri="{FF2B5EF4-FFF2-40B4-BE49-F238E27FC236}">
              <a16:creationId xmlns:a16="http://schemas.microsoft.com/office/drawing/2014/main" id="{3A139557-7A37-42E2-83D9-9822C7845F19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3" name="Text Box 8">
          <a:extLst>
            <a:ext uri="{FF2B5EF4-FFF2-40B4-BE49-F238E27FC236}">
              <a16:creationId xmlns:a16="http://schemas.microsoft.com/office/drawing/2014/main" id="{570EA085-75FE-4386-B6D0-B298625D4C97}"/>
            </a:ext>
          </a:extLst>
        </xdr:cNvPr>
        <xdr:cNvSpPr txBox="1">
          <a:spLocks noChangeArrowheads="1"/>
        </xdr:cNvSpPr>
      </xdr:nvSpPr>
      <xdr:spPr bwMode="auto">
        <a:xfrm>
          <a:off x="3286125" y="51054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4" name="Text Box 7">
          <a:extLst>
            <a:ext uri="{FF2B5EF4-FFF2-40B4-BE49-F238E27FC236}">
              <a16:creationId xmlns:a16="http://schemas.microsoft.com/office/drawing/2014/main" id="{7CD908E2-4301-4431-A02D-C637C3A17F39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5" name="Text Box 8">
          <a:extLst>
            <a:ext uri="{FF2B5EF4-FFF2-40B4-BE49-F238E27FC236}">
              <a16:creationId xmlns:a16="http://schemas.microsoft.com/office/drawing/2014/main" id="{83977D38-A0D9-43EA-B6C5-A5C027DC5818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6" name="Text Box 7">
          <a:extLst>
            <a:ext uri="{FF2B5EF4-FFF2-40B4-BE49-F238E27FC236}">
              <a16:creationId xmlns:a16="http://schemas.microsoft.com/office/drawing/2014/main" id="{FF90B8E5-4A27-4FD2-AB7A-086566B7EB92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7" name="Text Box 8">
          <a:extLst>
            <a:ext uri="{FF2B5EF4-FFF2-40B4-BE49-F238E27FC236}">
              <a16:creationId xmlns:a16="http://schemas.microsoft.com/office/drawing/2014/main" id="{6C15F4F4-9E0B-4B6C-AEFB-FEDA8D695BB0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8" name="Text Box 7">
          <a:extLst>
            <a:ext uri="{FF2B5EF4-FFF2-40B4-BE49-F238E27FC236}">
              <a16:creationId xmlns:a16="http://schemas.microsoft.com/office/drawing/2014/main" id="{E335055C-03A7-4BDA-94A5-EA1BB26B0BF2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49" name="Text Box 8">
          <a:extLst>
            <a:ext uri="{FF2B5EF4-FFF2-40B4-BE49-F238E27FC236}">
              <a16:creationId xmlns:a16="http://schemas.microsoft.com/office/drawing/2014/main" id="{BB983E2C-571B-4399-A67A-E2AB65783663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50" name="Text Box 7">
          <a:extLst>
            <a:ext uri="{FF2B5EF4-FFF2-40B4-BE49-F238E27FC236}">
              <a16:creationId xmlns:a16="http://schemas.microsoft.com/office/drawing/2014/main" id="{6EBA3CB6-B65E-4CAA-A6EC-BCCE7A7C7EC5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40</xdr:row>
      <xdr:rowOff>0</xdr:rowOff>
    </xdr:from>
    <xdr:ext cx="0" cy="209550"/>
    <xdr:sp macro="" textlink="">
      <xdr:nvSpPr>
        <xdr:cNvPr id="151" name="Text Box 8">
          <a:extLst>
            <a:ext uri="{FF2B5EF4-FFF2-40B4-BE49-F238E27FC236}">
              <a16:creationId xmlns:a16="http://schemas.microsoft.com/office/drawing/2014/main" id="{0A90D14D-B247-43EF-B495-4F32DAAF93FF}"/>
            </a:ext>
          </a:extLst>
        </xdr:cNvPr>
        <xdr:cNvSpPr txBox="1">
          <a:spLocks noChangeArrowheads="1"/>
        </xdr:cNvSpPr>
      </xdr:nvSpPr>
      <xdr:spPr bwMode="auto">
        <a:xfrm>
          <a:off x="3286125" y="99345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2" name="Text Box 7">
          <a:extLst>
            <a:ext uri="{FF2B5EF4-FFF2-40B4-BE49-F238E27FC236}">
              <a16:creationId xmlns:a16="http://schemas.microsoft.com/office/drawing/2014/main" id="{9EBA6DDF-C2F2-4C8B-91AD-BE667ABA6B16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3" name="Text Box 8">
          <a:extLst>
            <a:ext uri="{FF2B5EF4-FFF2-40B4-BE49-F238E27FC236}">
              <a16:creationId xmlns:a16="http://schemas.microsoft.com/office/drawing/2014/main" id="{1AC072FF-DC12-4F5B-81BE-8EF3C26AD1D6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4" name="Text Box 7">
          <a:extLst>
            <a:ext uri="{FF2B5EF4-FFF2-40B4-BE49-F238E27FC236}">
              <a16:creationId xmlns:a16="http://schemas.microsoft.com/office/drawing/2014/main" id="{CA41B586-BD36-4F76-A079-BA7AF025CC2B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5" name="Text Box 8">
          <a:extLst>
            <a:ext uri="{FF2B5EF4-FFF2-40B4-BE49-F238E27FC236}">
              <a16:creationId xmlns:a16="http://schemas.microsoft.com/office/drawing/2014/main" id="{37952F01-7E4D-43A8-B466-779B0B3166DD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6" name="Text Box 7">
          <a:extLst>
            <a:ext uri="{FF2B5EF4-FFF2-40B4-BE49-F238E27FC236}">
              <a16:creationId xmlns:a16="http://schemas.microsoft.com/office/drawing/2014/main" id="{D367A91F-1904-4F8A-A46D-6432A0856002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7" name="Text Box 8">
          <a:extLst>
            <a:ext uri="{FF2B5EF4-FFF2-40B4-BE49-F238E27FC236}">
              <a16:creationId xmlns:a16="http://schemas.microsoft.com/office/drawing/2014/main" id="{AB1F12B1-9D15-4173-8FBD-1E3F0D73E330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8" name="Text Box 7">
          <a:extLst>
            <a:ext uri="{FF2B5EF4-FFF2-40B4-BE49-F238E27FC236}">
              <a16:creationId xmlns:a16="http://schemas.microsoft.com/office/drawing/2014/main" id="{6A34320E-3237-47C3-93AA-9B1270BED9A6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45</xdr:row>
      <xdr:rowOff>0</xdr:rowOff>
    </xdr:from>
    <xdr:ext cx="0" cy="209550"/>
    <xdr:sp macro="" textlink="">
      <xdr:nvSpPr>
        <xdr:cNvPr id="159" name="Text Box 8">
          <a:extLst>
            <a:ext uri="{FF2B5EF4-FFF2-40B4-BE49-F238E27FC236}">
              <a16:creationId xmlns:a16="http://schemas.microsoft.com/office/drawing/2014/main" id="{C77AC11B-C4AA-44A8-B34C-4A98C22A6052}"/>
            </a:ext>
          </a:extLst>
        </xdr:cNvPr>
        <xdr:cNvSpPr txBox="1">
          <a:spLocks noChangeArrowheads="1"/>
        </xdr:cNvSpPr>
      </xdr:nvSpPr>
      <xdr:spPr bwMode="auto">
        <a:xfrm>
          <a:off x="3286125" y="79533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0" name="Text Box 7">
          <a:extLst>
            <a:ext uri="{FF2B5EF4-FFF2-40B4-BE49-F238E27FC236}">
              <a16:creationId xmlns:a16="http://schemas.microsoft.com/office/drawing/2014/main" id="{A49E1374-8A92-472B-B50B-661CFAA65A4D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1" name="Text Box 8">
          <a:extLst>
            <a:ext uri="{FF2B5EF4-FFF2-40B4-BE49-F238E27FC236}">
              <a16:creationId xmlns:a16="http://schemas.microsoft.com/office/drawing/2014/main" id="{642BFEAD-3847-4392-A82D-2E30836DB5A4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2" name="Text Box 7">
          <a:extLst>
            <a:ext uri="{FF2B5EF4-FFF2-40B4-BE49-F238E27FC236}">
              <a16:creationId xmlns:a16="http://schemas.microsoft.com/office/drawing/2014/main" id="{303007D5-67E3-428F-9EAD-ADA8F46C0509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3" name="Text Box 8">
          <a:extLst>
            <a:ext uri="{FF2B5EF4-FFF2-40B4-BE49-F238E27FC236}">
              <a16:creationId xmlns:a16="http://schemas.microsoft.com/office/drawing/2014/main" id="{C44C583B-9571-409A-B9F7-CA4540559C5C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4" name="Text Box 7">
          <a:extLst>
            <a:ext uri="{FF2B5EF4-FFF2-40B4-BE49-F238E27FC236}">
              <a16:creationId xmlns:a16="http://schemas.microsoft.com/office/drawing/2014/main" id="{637109C6-7E7E-45C8-85E3-9F3F2A1D04CE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5" name="Text Box 8">
          <a:extLst>
            <a:ext uri="{FF2B5EF4-FFF2-40B4-BE49-F238E27FC236}">
              <a16:creationId xmlns:a16="http://schemas.microsoft.com/office/drawing/2014/main" id="{ABBABCB7-F80D-4741-8A25-6C814E906174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6" name="Text Box 7">
          <a:extLst>
            <a:ext uri="{FF2B5EF4-FFF2-40B4-BE49-F238E27FC236}">
              <a16:creationId xmlns:a16="http://schemas.microsoft.com/office/drawing/2014/main" id="{3957066A-AC54-4B17-A63D-F008590D73B1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64</xdr:row>
      <xdr:rowOff>0</xdr:rowOff>
    </xdr:from>
    <xdr:ext cx="0" cy="209550"/>
    <xdr:sp macro="" textlink="">
      <xdr:nvSpPr>
        <xdr:cNvPr id="167" name="Text Box 8">
          <a:extLst>
            <a:ext uri="{FF2B5EF4-FFF2-40B4-BE49-F238E27FC236}">
              <a16:creationId xmlns:a16="http://schemas.microsoft.com/office/drawing/2014/main" id="{F529FD62-2B51-4ACE-852B-1B428706CAF7}"/>
            </a:ext>
          </a:extLst>
        </xdr:cNvPr>
        <xdr:cNvSpPr txBox="1">
          <a:spLocks noChangeArrowheads="1"/>
        </xdr:cNvSpPr>
      </xdr:nvSpPr>
      <xdr:spPr bwMode="auto">
        <a:xfrm>
          <a:off x="3286125" y="13144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68" name="Text Box 7">
          <a:extLst>
            <a:ext uri="{FF2B5EF4-FFF2-40B4-BE49-F238E27FC236}">
              <a16:creationId xmlns:a16="http://schemas.microsoft.com/office/drawing/2014/main" id="{114B28EB-915F-45F7-ACAF-201F21B44388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69" name="Text Box 8">
          <a:extLst>
            <a:ext uri="{FF2B5EF4-FFF2-40B4-BE49-F238E27FC236}">
              <a16:creationId xmlns:a16="http://schemas.microsoft.com/office/drawing/2014/main" id="{7DABC50E-DD0A-4EFE-A817-9A9DDC9466C3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0" name="Text Box 7">
          <a:extLst>
            <a:ext uri="{FF2B5EF4-FFF2-40B4-BE49-F238E27FC236}">
              <a16:creationId xmlns:a16="http://schemas.microsoft.com/office/drawing/2014/main" id="{8C4AFA47-7E8B-46CD-B89D-D479C5B8193F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1" name="Text Box 8">
          <a:extLst>
            <a:ext uri="{FF2B5EF4-FFF2-40B4-BE49-F238E27FC236}">
              <a16:creationId xmlns:a16="http://schemas.microsoft.com/office/drawing/2014/main" id="{00F3936C-FF03-4C7A-A770-2D03921FB03D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2" name="Text Box 7">
          <a:extLst>
            <a:ext uri="{FF2B5EF4-FFF2-40B4-BE49-F238E27FC236}">
              <a16:creationId xmlns:a16="http://schemas.microsoft.com/office/drawing/2014/main" id="{E901B694-A7C1-4223-92E4-D41DA2471A21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3" name="Text Box 8">
          <a:extLst>
            <a:ext uri="{FF2B5EF4-FFF2-40B4-BE49-F238E27FC236}">
              <a16:creationId xmlns:a16="http://schemas.microsoft.com/office/drawing/2014/main" id="{82D291D0-D18F-43F0-ACC5-9B763521ADA6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4" name="Text Box 7">
          <a:extLst>
            <a:ext uri="{FF2B5EF4-FFF2-40B4-BE49-F238E27FC236}">
              <a16:creationId xmlns:a16="http://schemas.microsoft.com/office/drawing/2014/main" id="{E36B8CD7-2FC5-4308-9550-F0F8EF982875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5" name="Text Box 8">
          <a:extLst>
            <a:ext uri="{FF2B5EF4-FFF2-40B4-BE49-F238E27FC236}">
              <a16:creationId xmlns:a16="http://schemas.microsoft.com/office/drawing/2014/main" id="{19E8DE14-8869-4121-8AC8-01EF455D9495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ACBB739D-2EB6-4877-894C-17BC444C8E17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F4C78B61-7A8E-482D-AD5A-3FB80BB9DB2F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8" name="Text Box 7">
          <a:extLst>
            <a:ext uri="{FF2B5EF4-FFF2-40B4-BE49-F238E27FC236}">
              <a16:creationId xmlns:a16="http://schemas.microsoft.com/office/drawing/2014/main" id="{30E8B8FD-7022-4617-A71D-EC65A942F5D0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79" name="Text Box 8">
          <a:extLst>
            <a:ext uri="{FF2B5EF4-FFF2-40B4-BE49-F238E27FC236}">
              <a16:creationId xmlns:a16="http://schemas.microsoft.com/office/drawing/2014/main" id="{D82BD4D7-B7F8-48BD-A589-F1F943FE8D3D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80" name="Text Box 7">
          <a:extLst>
            <a:ext uri="{FF2B5EF4-FFF2-40B4-BE49-F238E27FC236}">
              <a16:creationId xmlns:a16="http://schemas.microsoft.com/office/drawing/2014/main" id="{C7C13334-62F2-4384-9F11-5A7033DB27CA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81" name="Text Box 8">
          <a:extLst>
            <a:ext uri="{FF2B5EF4-FFF2-40B4-BE49-F238E27FC236}">
              <a16:creationId xmlns:a16="http://schemas.microsoft.com/office/drawing/2014/main" id="{A0B14F57-F78B-4977-A905-2D8D0443DAAD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82" name="Text Box 7">
          <a:extLst>
            <a:ext uri="{FF2B5EF4-FFF2-40B4-BE49-F238E27FC236}">
              <a16:creationId xmlns:a16="http://schemas.microsoft.com/office/drawing/2014/main" id="{250A1820-1FC1-4846-AA28-CC2A1199EBF8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46</xdr:row>
      <xdr:rowOff>0</xdr:rowOff>
    </xdr:from>
    <xdr:ext cx="0" cy="209550"/>
    <xdr:sp macro="" textlink="">
      <xdr:nvSpPr>
        <xdr:cNvPr id="183" name="Text Box 8">
          <a:extLst>
            <a:ext uri="{FF2B5EF4-FFF2-40B4-BE49-F238E27FC236}">
              <a16:creationId xmlns:a16="http://schemas.microsoft.com/office/drawing/2014/main" id="{E14D8CBC-4A33-4C58-ABE6-72AD52C11662}"/>
            </a:ext>
          </a:extLst>
        </xdr:cNvPr>
        <xdr:cNvSpPr txBox="1">
          <a:spLocks noChangeArrowheads="1"/>
        </xdr:cNvSpPr>
      </xdr:nvSpPr>
      <xdr:spPr bwMode="auto">
        <a:xfrm>
          <a:off x="3286125" y="105346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84" name="Text Box 7">
          <a:extLst>
            <a:ext uri="{FF2B5EF4-FFF2-40B4-BE49-F238E27FC236}">
              <a16:creationId xmlns:a16="http://schemas.microsoft.com/office/drawing/2014/main" id="{B8E4D111-E1CD-43C1-9ABB-D23C4BC83B84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85" name="Text Box 8">
          <a:extLst>
            <a:ext uri="{FF2B5EF4-FFF2-40B4-BE49-F238E27FC236}">
              <a16:creationId xmlns:a16="http://schemas.microsoft.com/office/drawing/2014/main" id="{D8A474DF-3944-4CD6-98C1-6022CB9EDD4B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86" name="Text Box 7">
          <a:extLst>
            <a:ext uri="{FF2B5EF4-FFF2-40B4-BE49-F238E27FC236}">
              <a16:creationId xmlns:a16="http://schemas.microsoft.com/office/drawing/2014/main" id="{B327F1C0-DDD1-4604-887E-FF35AE698FC2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87" name="Text Box 8">
          <a:extLst>
            <a:ext uri="{FF2B5EF4-FFF2-40B4-BE49-F238E27FC236}">
              <a16:creationId xmlns:a16="http://schemas.microsoft.com/office/drawing/2014/main" id="{04669B5F-4526-46D8-BF4D-79202A93D4B6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88" name="Text Box 7">
          <a:extLst>
            <a:ext uri="{FF2B5EF4-FFF2-40B4-BE49-F238E27FC236}">
              <a16:creationId xmlns:a16="http://schemas.microsoft.com/office/drawing/2014/main" id="{6CC95726-BF1F-4293-AF96-EFB32EE01BCE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89" name="Text Box 8">
          <a:extLst>
            <a:ext uri="{FF2B5EF4-FFF2-40B4-BE49-F238E27FC236}">
              <a16:creationId xmlns:a16="http://schemas.microsoft.com/office/drawing/2014/main" id="{259EDE53-23AC-4A6A-B7FD-FE4A28CD9FDE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90" name="Text Box 7">
          <a:extLst>
            <a:ext uri="{FF2B5EF4-FFF2-40B4-BE49-F238E27FC236}">
              <a16:creationId xmlns:a16="http://schemas.microsoft.com/office/drawing/2014/main" id="{42CEE909-E2E5-439A-A328-4D547CBD5FF4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2524125</xdr:colOff>
      <xdr:row>53</xdr:row>
      <xdr:rowOff>0</xdr:rowOff>
    </xdr:from>
    <xdr:ext cx="0" cy="209550"/>
    <xdr:sp macro="" textlink="">
      <xdr:nvSpPr>
        <xdr:cNvPr id="191" name="Text Box 8">
          <a:extLst>
            <a:ext uri="{FF2B5EF4-FFF2-40B4-BE49-F238E27FC236}">
              <a16:creationId xmlns:a16="http://schemas.microsoft.com/office/drawing/2014/main" id="{2ED6E749-8836-477A-88D7-2429DDFA6ABC}"/>
            </a:ext>
          </a:extLst>
        </xdr:cNvPr>
        <xdr:cNvSpPr txBox="1">
          <a:spLocks noChangeArrowheads="1"/>
        </xdr:cNvSpPr>
      </xdr:nvSpPr>
      <xdr:spPr bwMode="auto">
        <a:xfrm>
          <a:off x="3286125" y="115443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view="pageBreakPreview" topLeftCell="A50" zoomScaleNormal="100" zoomScaleSheetLayoutView="100" workbookViewId="0">
      <selection activeCell="B6" sqref="B6"/>
    </sheetView>
  </sheetViews>
  <sheetFormatPr baseColWidth="10" defaultColWidth="11.44140625" defaultRowHeight="13.2" outlineLevelCol="1" x14ac:dyDescent="0.25"/>
  <cols>
    <col min="1" max="1" width="11.44140625" style="34"/>
    <col min="2" max="2" width="96.33203125" style="34" customWidth="1"/>
    <col min="3" max="3" width="11" style="34" customWidth="1"/>
    <col min="4" max="4" width="15.44140625" style="34" customWidth="1"/>
    <col min="5" max="5" width="13.5546875" style="68" hidden="1" customWidth="1" outlineLevel="1"/>
    <col min="6" max="6" width="13.5546875" style="68" customWidth="1" outlineLevel="1"/>
    <col min="7" max="7" width="13.5546875" style="34" customWidth="1"/>
    <col min="8" max="8" width="17.33203125" style="34" bestFit="1" customWidth="1"/>
    <col min="9" max="9" width="3.109375" style="34" customWidth="1"/>
    <col min="10" max="16384" width="11.44140625" style="34"/>
  </cols>
  <sheetData>
    <row r="1" spans="1:8" ht="39.75" customHeight="1" thickBot="1" x14ac:dyDescent="0.3">
      <c r="A1" s="142" t="s">
        <v>108</v>
      </c>
      <c r="B1" s="143"/>
      <c r="C1" s="143"/>
      <c r="D1" s="143"/>
      <c r="E1" s="143"/>
      <c r="F1" s="143"/>
      <c r="G1" s="143"/>
      <c r="H1" s="144"/>
    </row>
    <row r="2" spans="1:8" ht="48" customHeight="1" thickBot="1" x14ac:dyDescent="0.3">
      <c r="A2" s="1" t="s">
        <v>3</v>
      </c>
      <c r="B2" s="2" t="s">
        <v>4</v>
      </c>
      <c r="C2" s="2" t="s">
        <v>5</v>
      </c>
      <c r="D2" s="3" t="s">
        <v>22</v>
      </c>
      <c r="E2" s="56" t="s">
        <v>23</v>
      </c>
      <c r="F2" s="2" t="s">
        <v>26</v>
      </c>
      <c r="G2" s="4" t="s">
        <v>10</v>
      </c>
      <c r="H2" s="39" t="s">
        <v>11</v>
      </c>
    </row>
    <row r="3" spans="1:8" ht="11.25" customHeight="1" x14ac:dyDescent="0.25">
      <c r="A3" s="50"/>
      <c r="B3" s="51"/>
      <c r="C3" s="51"/>
      <c r="D3" s="51"/>
      <c r="E3" s="57"/>
      <c r="F3" s="89"/>
      <c r="G3" s="51"/>
      <c r="H3" s="52"/>
    </row>
    <row r="4" spans="1:8" ht="20.100000000000001" customHeight="1" thickBot="1" x14ac:dyDescent="0.3">
      <c r="A4" s="5" t="s">
        <v>6</v>
      </c>
      <c r="B4" s="6" t="s">
        <v>27</v>
      </c>
      <c r="C4" s="7" t="s">
        <v>7</v>
      </c>
      <c r="D4" s="8" t="s">
        <v>8</v>
      </c>
      <c r="E4" s="58" t="s">
        <v>12</v>
      </c>
      <c r="F4" s="8" t="s">
        <v>8</v>
      </c>
      <c r="G4" s="9" t="s">
        <v>12</v>
      </c>
      <c r="H4" s="10" t="s">
        <v>11</v>
      </c>
    </row>
    <row r="5" spans="1:8" ht="20.100000000000001" customHeight="1" x14ac:dyDescent="0.25">
      <c r="A5" s="97" t="s">
        <v>1</v>
      </c>
      <c r="B5" s="81" t="s">
        <v>28</v>
      </c>
      <c r="C5" s="70" t="s">
        <v>0</v>
      </c>
      <c r="D5" s="71">
        <v>1</v>
      </c>
      <c r="E5" s="72">
        <f>D5</f>
        <v>1</v>
      </c>
      <c r="F5" s="72"/>
      <c r="G5" s="35"/>
      <c r="H5" s="73">
        <f>G5*F5</f>
        <v>0</v>
      </c>
    </row>
    <row r="6" spans="1:8" ht="20.100000000000001" customHeight="1" x14ac:dyDescent="0.25">
      <c r="A6" s="97" t="s">
        <v>2</v>
      </c>
      <c r="B6" s="69" t="s">
        <v>29</v>
      </c>
      <c r="C6" s="74" t="s">
        <v>0</v>
      </c>
      <c r="D6" s="75">
        <v>1</v>
      </c>
      <c r="E6" s="76">
        <f>D6</f>
        <v>1</v>
      </c>
      <c r="F6" s="76"/>
      <c r="G6" s="77"/>
      <c r="H6" s="102">
        <f t="shared" ref="H6:H9" si="0">G6*F6</f>
        <v>0</v>
      </c>
    </row>
    <row r="7" spans="1:8" ht="20.100000000000001" customHeight="1" x14ac:dyDescent="0.25">
      <c r="A7" s="97" t="s">
        <v>30</v>
      </c>
      <c r="B7" s="80" t="s">
        <v>47</v>
      </c>
      <c r="C7" s="74" t="s">
        <v>0</v>
      </c>
      <c r="D7" s="75">
        <v>1</v>
      </c>
      <c r="E7" s="76">
        <v>1</v>
      </c>
      <c r="F7" s="76"/>
      <c r="G7" s="86"/>
      <c r="H7" s="101">
        <f t="shared" si="0"/>
        <v>0</v>
      </c>
    </row>
    <row r="8" spans="1:8" ht="20.100000000000001" customHeight="1" x14ac:dyDescent="0.25">
      <c r="A8" s="97" t="s">
        <v>31</v>
      </c>
      <c r="B8" s="80" t="s">
        <v>48</v>
      </c>
      <c r="C8" s="99" t="s">
        <v>0</v>
      </c>
      <c r="D8" s="75">
        <v>1</v>
      </c>
      <c r="E8" s="76">
        <v>1</v>
      </c>
      <c r="F8" s="76"/>
      <c r="G8" s="86"/>
      <c r="H8" s="101">
        <f t="shared" si="0"/>
        <v>0</v>
      </c>
    </row>
    <row r="9" spans="1:8" ht="20.100000000000001" customHeight="1" x14ac:dyDescent="0.25">
      <c r="A9" s="97" t="s">
        <v>32</v>
      </c>
      <c r="B9" s="87" t="s">
        <v>49</v>
      </c>
      <c r="C9" s="75" t="s">
        <v>0</v>
      </c>
      <c r="D9" s="75">
        <v>1</v>
      </c>
      <c r="E9" s="78">
        <f t="shared" ref="E9" si="1">D9</f>
        <v>1</v>
      </c>
      <c r="F9" s="78"/>
      <c r="G9" s="77"/>
      <c r="H9" s="103">
        <f t="shared" si="0"/>
        <v>0</v>
      </c>
    </row>
    <row r="10" spans="1:8" ht="20.100000000000001" customHeight="1" x14ac:dyDescent="0.25">
      <c r="A10" s="11" t="s">
        <v>13</v>
      </c>
      <c r="B10" s="36"/>
      <c r="C10" s="12"/>
      <c r="D10" s="12"/>
      <c r="E10" s="60"/>
      <c r="F10" s="12"/>
      <c r="G10" s="13"/>
      <c r="H10" s="14">
        <f>SUM(H5:H9)</f>
        <v>0</v>
      </c>
    </row>
    <row r="11" spans="1:8" ht="10.5" customHeight="1" x14ac:dyDescent="0.25">
      <c r="A11" s="53"/>
      <c r="B11" s="54"/>
      <c r="C11" s="54"/>
      <c r="D11" s="54"/>
      <c r="E11" s="61"/>
      <c r="F11" s="54"/>
      <c r="G11" s="54"/>
      <c r="H11" s="55"/>
    </row>
    <row r="12" spans="1:8" ht="20.100000000000001" customHeight="1" x14ac:dyDescent="0.25">
      <c r="A12" s="33">
        <v>2</v>
      </c>
      <c r="B12" s="26" t="s">
        <v>50</v>
      </c>
      <c r="C12" s="27" t="s">
        <v>7</v>
      </c>
      <c r="D12" s="28" t="s">
        <v>8</v>
      </c>
      <c r="E12" s="62" t="s">
        <v>12</v>
      </c>
      <c r="F12" s="90" t="s">
        <v>8</v>
      </c>
      <c r="G12" s="29" t="s">
        <v>12</v>
      </c>
      <c r="H12" s="30" t="s">
        <v>11</v>
      </c>
    </row>
    <row r="13" spans="1:8" ht="20.100000000000001" customHeight="1" x14ac:dyDescent="0.25">
      <c r="A13" s="115" t="s">
        <v>24</v>
      </c>
      <c r="B13" s="69" t="s">
        <v>68</v>
      </c>
      <c r="C13" s="116" t="s">
        <v>34</v>
      </c>
      <c r="D13" s="71">
        <v>1</v>
      </c>
      <c r="E13" s="72">
        <f>D13</f>
        <v>1</v>
      </c>
      <c r="F13" s="72"/>
      <c r="G13" s="35"/>
      <c r="H13" s="73">
        <f>G13*F13</f>
        <v>0</v>
      </c>
    </row>
    <row r="14" spans="1:8" ht="20.100000000000001" customHeight="1" x14ac:dyDescent="0.25">
      <c r="A14" s="115" t="s">
        <v>9</v>
      </c>
      <c r="B14" s="82" t="s">
        <v>69</v>
      </c>
      <c r="C14" s="116" t="s">
        <v>34</v>
      </c>
      <c r="D14" s="71">
        <v>1</v>
      </c>
      <c r="E14" s="76">
        <f>D14</f>
        <v>1</v>
      </c>
      <c r="F14" s="76"/>
      <c r="G14" s="77"/>
      <c r="H14" s="101">
        <f t="shared" ref="H14:H17" si="2">G14*F14</f>
        <v>0</v>
      </c>
    </row>
    <row r="15" spans="1:8" ht="24.75" customHeight="1" x14ac:dyDescent="0.25">
      <c r="A15" s="115" t="s">
        <v>51</v>
      </c>
      <c r="B15" s="82" t="s">
        <v>70</v>
      </c>
      <c r="C15" s="116" t="s">
        <v>34</v>
      </c>
      <c r="D15" s="71">
        <v>1</v>
      </c>
      <c r="E15" s="76">
        <v>1</v>
      </c>
      <c r="F15" s="76"/>
      <c r="G15" s="77"/>
      <c r="H15" s="102">
        <f t="shared" si="2"/>
        <v>0</v>
      </c>
    </row>
    <row r="16" spans="1:8" ht="20.100000000000001" customHeight="1" x14ac:dyDescent="0.25">
      <c r="A16" s="115" t="s">
        <v>52</v>
      </c>
      <c r="B16" s="109" t="s">
        <v>71</v>
      </c>
      <c r="C16" s="85" t="s">
        <v>25</v>
      </c>
      <c r="D16" s="75">
        <v>10</v>
      </c>
      <c r="E16" s="76"/>
      <c r="F16" s="76"/>
      <c r="G16" s="77"/>
      <c r="H16" s="73">
        <f t="shared" si="2"/>
        <v>0</v>
      </c>
    </row>
    <row r="17" spans="1:8" ht="20.100000000000001" customHeight="1" x14ac:dyDescent="0.25">
      <c r="A17" s="115" t="s">
        <v>53</v>
      </c>
      <c r="B17" s="69" t="s">
        <v>72</v>
      </c>
      <c r="C17" s="85" t="s">
        <v>25</v>
      </c>
      <c r="D17" s="75">
        <v>2</v>
      </c>
      <c r="E17" s="76"/>
      <c r="F17" s="76"/>
      <c r="G17" s="77"/>
      <c r="H17" s="101">
        <f t="shared" si="2"/>
        <v>0</v>
      </c>
    </row>
    <row r="18" spans="1:8" ht="20.100000000000001" customHeight="1" x14ac:dyDescent="0.25">
      <c r="A18" s="115" t="s">
        <v>54</v>
      </c>
      <c r="B18" s="118" t="s">
        <v>73</v>
      </c>
      <c r="C18" s="119" t="s">
        <v>25</v>
      </c>
      <c r="D18" s="83">
        <v>1</v>
      </c>
      <c r="E18" s="59">
        <f t="shared" ref="E18" si="3">D18</f>
        <v>1</v>
      </c>
      <c r="F18" s="83"/>
      <c r="G18" s="84"/>
      <c r="H18" s="102">
        <f>G18*F18</f>
        <v>0</v>
      </c>
    </row>
    <row r="19" spans="1:8" ht="20.100000000000001" customHeight="1" x14ac:dyDescent="0.25">
      <c r="A19" s="115" t="s">
        <v>55</v>
      </c>
      <c r="B19" s="122" t="s">
        <v>74</v>
      </c>
      <c r="C19" s="128" t="s">
        <v>25</v>
      </c>
      <c r="D19" s="123">
        <v>4</v>
      </c>
      <c r="E19" s="124"/>
      <c r="F19" s="123"/>
      <c r="G19" s="104"/>
      <c r="H19" s="102">
        <f t="shared" ref="H19:H31" si="4">G19*F19</f>
        <v>0</v>
      </c>
    </row>
    <row r="20" spans="1:8" ht="20.100000000000001" customHeight="1" x14ac:dyDescent="0.25">
      <c r="A20" s="115" t="s">
        <v>56</v>
      </c>
      <c r="B20" s="118" t="s">
        <v>75</v>
      </c>
      <c r="C20" s="129" t="s">
        <v>25</v>
      </c>
      <c r="D20" s="111">
        <v>4</v>
      </c>
      <c r="E20" s="125"/>
      <c r="F20" s="111"/>
      <c r="G20" s="105"/>
      <c r="H20" s="102">
        <f t="shared" si="4"/>
        <v>0</v>
      </c>
    </row>
    <row r="21" spans="1:8" ht="20.100000000000001" customHeight="1" x14ac:dyDescent="0.25">
      <c r="A21" s="115" t="s">
        <v>57</v>
      </c>
      <c r="B21" s="118" t="s">
        <v>76</v>
      </c>
      <c r="C21" s="129" t="s">
        <v>25</v>
      </c>
      <c r="D21" s="111">
        <v>4</v>
      </c>
      <c r="E21" s="125"/>
      <c r="F21" s="111"/>
      <c r="G21" s="105"/>
      <c r="H21" s="102">
        <f t="shared" si="4"/>
        <v>0</v>
      </c>
    </row>
    <row r="22" spans="1:8" ht="20.100000000000001" customHeight="1" x14ac:dyDescent="0.25">
      <c r="A22" s="115" t="s">
        <v>58</v>
      </c>
      <c r="B22" s="118" t="s">
        <v>77</v>
      </c>
      <c r="C22" s="129" t="s">
        <v>25</v>
      </c>
      <c r="D22" s="111">
        <v>1</v>
      </c>
      <c r="E22" s="125"/>
      <c r="F22" s="111"/>
      <c r="G22" s="105"/>
      <c r="H22" s="102">
        <f t="shared" si="4"/>
        <v>0</v>
      </c>
    </row>
    <row r="23" spans="1:8" ht="20.100000000000001" customHeight="1" x14ac:dyDescent="0.25">
      <c r="A23" s="115" t="s">
        <v>59</v>
      </c>
      <c r="B23" s="118" t="s">
        <v>78</v>
      </c>
      <c r="C23" s="129" t="s">
        <v>25</v>
      </c>
      <c r="D23" s="111">
        <v>2</v>
      </c>
      <c r="E23" s="125"/>
      <c r="F23" s="111"/>
      <c r="G23" s="105"/>
      <c r="H23" s="102">
        <f t="shared" si="4"/>
        <v>0</v>
      </c>
    </row>
    <row r="24" spans="1:8" ht="20.100000000000001" customHeight="1" x14ac:dyDescent="0.25">
      <c r="A24" s="115" t="s">
        <v>60</v>
      </c>
      <c r="B24" s="118" t="s">
        <v>79</v>
      </c>
      <c r="C24" s="129" t="s">
        <v>25</v>
      </c>
      <c r="D24" s="111">
        <v>4</v>
      </c>
      <c r="E24" s="125"/>
      <c r="F24" s="111"/>
      <c r="G24" s="105"/>
      <c r="H24" s="102">
        <f t="shared" si="4"/>
        <v>0</v>
      </c>
    </row>
    <row r="25" spans="1:8" ht="20.100000000000001" customHeight="1" x14ac:dyDescent="0.25">
      <c r="A25" s="115" t="s">
        <v>61</v>
      </c>
      <c r="B25" s="118" t="s">
        <v>80</v>
      </c>
      <c r="C25" s="129" t="s">
        <v>25</v>
      </c>
      <c r="D25" s="111">
        <v>1</v>
      </c>
      <c r="E25" s="125"/>
      <c r="F25" s="111"/>
      <c r="G25" s="105"/>
      <c r="H25" s="102">
        <f t="shared" si="4"/>
        <v>0</v>
      </c>
    </row>
    <row r="26" spans="1:8" ht="20.100000000000001" customHeight="1" x14ac:dyDescent="0.25">
      <c r="A26" s="115" t="s">
        <v>62</v>
      </c>
      <c r="B26" s="118" t="s">
        <v>81</v>
      </c>
      <c r="C26" s="129" t="s">
        <v>25</v>
      </c>
      <c r="D26" s="111">
        <v>1</v>
      </c>
      <c r="E26" s="125"/>
      <c r="F26" s="111"/>
      <c r="G26" s="105"/>
      <c r="H26" s="102">
        <f t="shared" si="4"/>
        <v>0</v>
      </c>
    </row>
    <row r="27" spans="1:8" ht="20.100000000000001" customHeight="1" x14ac:dyDescent="0.25">
      <c r="A27" s="115" t="s">
        <v>63</v>
      </c>
      <c r="B27" s="118" t="s">
        <v>82</v>
      </c>
      <c r="C27" s="129" t="s">
        <v>25</v>
      </c>
      <c r="D27" s="111">
        <v>1</v>
      </c>
      <c r="E27" s="125"/>
      <c r="F27" s="111"/>
      <c r="G27" s="105"/>
      <c r="H27" s="102">
        <f t="shared" si="4"/>
        <v>0</v>
      </c>
    </row>
    <row r="28" spans="1:8" ht="20.100000000000001" customHeight="1" x14ac:dyDescent="0.25">
      <c r="A28" s="115" t="s">
        <v>64</v>
      </c>
      <c r="B28" s="122" t="s">
        <v>83</v>
      </c>
      <c r="C28" s="126" t="s">
        <v>25</v>
      </c>
      <c r="D28" s="71">
        <v>1</v>
      </c>
      <c r="E28" s="79"/>
      <c r="F28" s="127"/>
      <c r="G28" s="35"/>
      <c r="H28" s="102">
        <f t="shared" si="4"/>
        <v>0</v>
      </c>
    </row>
    <row r="29" spans="1:8" ht="20.100000000000001" customHeight="1" x14ac:dyDescent="0.25">
      <c r="A29" s="115" t="s">
        <v>65</v>
      </c>
      <c r="B29" s="69" t="s">
        <v>84</v>
      </c>
      <c r="C29" s="88" t="s">
        <v>25</v>
      </c>
      <c r="D29" s="107">
        <v>4</v>
      </c>
      <c r="E29" s="79"/>
      <c r="F29" s="106"/>
      <c r="G29" s="105"/>
      <c r="H29" s="102">
        <f t="shared" si="4"/>
        <v>0</v>
      </c>
    </row>
    <row r="30" spans="1:8" ht="20.100000000000001" customHeight="1" x14ac:dyDescent="0.25">
      <c r="A30" s="115" t="s">
        <v>66</v>
      </c>
      <c r="B30" s="117" t="s">
        <v>85</v>
      </c>
      <c r="C30" s="130" t="s">
        <v>34</v>
      </c>
      <c r="D30" s="107">
        <v>1</v>
      </c>
      <c r="E30" s="79"/>
      <c r="F30" s="106"/>
      <c r="G30" s="105"/>
      <c r="H30" s="102">
        <f t="shared" si="4"/>
        <v>0</v>
      </c>
    </row>
    <row r="31" spans="1:8" ht="20.100000000000001" customHeight="1" x14ac:dyDescent="0.25">
      <c r="A31" s="115" t="s">
        <v>67</v>
      </c>
      <c r="B31" s="113" t="s">
        <v>86</v>
      </c>
      <c r="C31" s="130" t="s">
        <v>87</v>
      </c>
      <c r="D31" s="108">
        <v>10</v>
      </c>
      <c r="E31" s="79"/>
      <c r="F31" s="79"/>
      <c r="G31" s="35"/>
      <c r="H31" s="102">
        <f t="shared" si="4"/>
        <v>0</v>
      </c>
    </row>
    <row r="32" spans="1:8" ht="20.100000000000001" customHeight="1" x14ac:dyDescent="0.25">
      <c r="A32" s="11" t="s">
        <v>14</v>
      </c>
      <c r="B32" s="36"/>
      <c r="C32" s="12"/>
      <c r="D32" s="12"/>
      <c r="E32" s="60"/>
      <c r="F32" s="12"/>
      <c r="G32" s="13"/>
      <c r="H32" s="14">
        <f>SUM(H13:H31)</f>
        <v>0</v>
      </c>
    </row>
    <row r="33" spans="1:8" s="96" customFormat="1" ht="9.75" customHeight="1" x14ac:dyDescent="0.25">
      <c r="A33" s="91"/>
      <c r="B33" s="92"/>
      <c r="C33" s="93"/>
      <c r="D33" s="93"/>
      <c r="E33" s="94"/>
      <c r="F33" s="93"/>
      <c r="G33" s="94"/>
      <c r="H33" s="95"/>
    </row>
    <row r="34" spans="1:8" ht="20.100000000000001" customHeight="1" thickBot="1" x14ac:dyDescent="0.3">
      <c r="A34" s="5">
        <v>3</v>
      </c>
      <c r="B34" s="6" t="s">
        <v>88</v>
      </c>
      <c r="C34" s="7" t="s">
        <v>7</v>
      </c>
      <c r="D34" s="8" t="s">
        <v>8</v>
      </c>
      <c r="E34" s="58" t="s">
        <v>12</v>
      </c>
      <c r="F34" s="8" t="s">
        <v>8</v>
      </c>
      <c r="G34" s="9" t="s">
        <v>12</v>
      </c>
      <c r="H34" s="10" t="s">
        <v>11</v>
      </c>
    </row>
    <row r="35" spans="1:8" ht="31.5" customHeight="1" x14ac:dyDescent="0.25">
      <c r="A35" s="97" t="s">
        <v>43</v>
      </c>
      <c r="B35" s="81" t="s">
        <v>89</v>
      </c>
      <c r="C35" s="116" t="s">
        <v>34</v>
      </c>
      <c r="D35" s="71">
        <v>1</v>
      </c>
      <c r="E35" s="72">
        <f>D35</f>
        <v>1</v>
      </c>
      <c r="F35" s="72"/>
      <c r="G35" s="35"/>
      <c r="H35" s="131">
        <f>G35*F35</f>
        <v>0</v>
      </c>
    </row>
    <row r="36" spans="1:8" ht="20.100000000000001" customHeight="1" x14ac:dyDescent="0.25">
      <c r="A36" s="97" t="s">
        <v>44</v>
      </c>
      <c r="B36" s="69" t="s">
        <v>90</v>
      </c>
      <c r="C36" s="132" t="s">
        <v>91</v>
      </c>
      <c r="D36" s="75">
        <v>1</v>
      </c>
      <c r="E36" s="76">
        <f>D36</f>
        <v>1</v>
      </c>
      <c r="F36" s="76"/>
      <c r="G36" s="77"/>
      <c r="H36" s="73">
        <f t="shared" ref="H36" si="5">G36*F36</f>
        <v>0</v>
      </c>
    </row>
    <row r="37" spans="1:8" ht="20.100000000000001" customHeight="1" x14ac:dyDescent="0.25">
      <c r="A37" s="11" t="s">
        <v>33</v>
      </c>
      <c r="B37" s="36"/>
      <c r="C37" s="12"/>
      <c r="D37" s="12"/>
      <c r="E37" s="60"/>
      <c r="F37" s="12"/>
      <c r="G37" s="13"/>
      <c r="H37" s="14">
        <f>SUM(H35:H36)</f>
        <v>0</v>
      </c>
    </row>
    <row r="38" spans="1:8" s="96" customFormat="1" ht="10.5" customHeight="1" x14ac:dyDescent="0.25">
      <c r="A38" s="91"/>
      <c r="B38" s="92"/>
      <c r="C38" s="93"/>
      <c r="D38" s="93"/>
      <c r="E38" s="94"/>
      <c r="F38" s="93"/>
      <c r="G38" s="94"/>
      <c r="H38" s="95"/>
    </row>
    <row r="39" spans="1:8" ht="20.100000000000001" customHeight="1" thickBot="1" x14ac:dyDescent="0.3">
      <c r="A39" s="5">
        <v>4</v>
      </c>
      <c r="B39" s="6" t="s">
        <v>92</v>
      </c>
      <c r="C39" s="7" t="s">
        <v>7</v>
      </c>
      <c r="D39" s="8" t="s">
        <v>8</v>
      </c>
      <c r="E39" s="58" t="s">
        <v>12</v>
      </c>
      <c r="F39" s="8" t="s">
        <v>8</v>
      </c>
      <c r="G39" s="9" t="s">
        <v>12</v>
      </c>
      <c r="H39" s="10" t="s">
        <v>11</v>
      </c>
    </row>
    <row r="40" spans="1:8" ht="20.100000000000001" customHeight="1" x14ac:dyDescent="0.25">
      <c r="A40" s="115" t="s">
        <v>35</v>
      </c>
      <c r="B40" s="109" t="s">
        <v>93</v>
      </c>
      <c r="C40" s="110" t="s">
        <v>34</v>
      </c>
      <c r="D40" s="111">
        <v>1</v>
      </c>
      <c r="E40" s="112"/>
      <c r="F40" s="112"/>
      <c r="G40" s="105"/>
      <c r="H40" s="102">
        <f t="shared" ref="H40" si="6">G40*F40</f>
        <v>0</v>
      </c>
    </row>
    <row r="41" spans="1:8" ht="20.100000000000001" customHeight="1" x14ac:dyDescent="0.25">
      <c r="A41" s="11" t="s">
        <v>36</v>
      </c>
      <c r="B41" s="36"/>
      <c r="C41" s="12"/>
      <c r="D41" s="12"/>
      <c r="E41" s="60"/>
      <c r="F41" s="12"/>
      <c r="G41" s="13"/>
      <c r="H41" s="14">
        <f>SUM(H40)</f>
        <v>0</v>
      </c>
    </row>
    <row r="42" spans="1:8" ht="9" customHeight="1" x14ac:dyDescent="0.25">
      <c r="A42" s="31"/>
      <c r="B42" s="32"/>
      <c r="C42" s="32"/>
      <c r="D42" s="32"/>
      <c r="E42" s="63"/>
      <c r="F42" s="32"/>
      <c r="G42" s="32"/>
      <c r="H42" s="40"/>
    </row>
    <row r="43" spans="1:8" ht="20.100000000000001" customHeight="1" thickBot="1" x14ac:dyDescent="0.3">
      <c r="A43" s="5">
        <v>5</v>
      </c>
      <c r="B43" s="6" t="s">
        <v>94</v>
      </c>
      <c r="C43" s="7" t="s">
        <v>7</v>
      </c>
      <c r="D43" s="8" t="s">
        <v>8</v>
      </c>
      <c r="E43" s="58" t="s">
        <v>12</v>
      </c>
      <c r="F43" s="8" t="s">
        <v>8</v>
      </c>
      <c r="G43" s="9" t="s">
        <v>12</v>
      </c>
      <c r="H43" s="10" t="s">
        <v>11</v>
      </c>
    </row>
    <row r="44" spans="1:8" ht="20.100000000000001" customHeight="1" x14ac:dyDescent="0.25">
      <c r="A44" s="97" t="s">
        <v>37</v>
      </c>
      <c r="B44" s="81" t="s">
        <v>95</v>
      </c>
      <c r="C44" s="114" t="s">
        <v>34</v>
      </c>
      <c r="D44" s="71">
        <v>1</v>
      </c>
      <c r="E44" s="72">
        <f>D44</f>
        <v>1</v>
      </c>
      <c r="F44" s="72"/>
      <c r="G44" s="35"/>
      <c r="H44" s="73">
        <f>G44*F44</f>
        <v>0</v>
      </c>
    </row>
    <row r="45" spans="1:8" ht="31.5" customHeight="1" x14ac:dyDescent="0.25">
      <c r="A45" s="97" t="s">
        <v>38</v>
      </c>
      <c r="B45" s="69" t="s">
        <v>96</v>
      </c>
      <c r="C45" s="98" t="s">
        <v>34</v>
      </c>
      <c r="D45" s="75">
        <v>1</v>
      </c>
      <c r="E45" s="76">
        <f>D45</f>
        <v>1</v>
      </c>
      <c r="F45" s="76"/>
      <c r="G45" s="77"/>
      <c r="H45" s="103">
        <f t="shared" ref="H45" si="7">G45*F45</f>
        <v>0</v>
      </c>
    </row>
    <row r="46" spans="1:8" ht="20.100000000000001" customHeight="1" x14ac:dyDescent="0.25">
      <c r="A46" s="11" t="s">
        <v>39</v>
      </c>
      <c r="B46" s="36"/>
      <c r="C46" s="12"/>
      <c r="D46" s="12"/>
      <c r="E46" s="60"/>
      <c r="F46" s="12"/>
      <c r="G46" s="13"/>
      <c r="H46" s="14">
        <f>SUM(H44:H45)</f>
        <v>0</v>
      </c>
    </row>
    <row r="47" spans="1:8" ht="12" customHeight="1" x14ac:dyDescent="0.25">
      <c r="A47" s="31"/>
      <c r="B47" s="32"/>
      <c r="C47" s="32"/>
      <c r="D47" s="32"/>
      <c r="E47" s="63"/>
      <c r="F47" s="32"/>
      <c r="G47" s="32"/>
      <c r="H47" s="100"/>
    </row>
    <row r="48" spans="1:8" ht="20.100000000000001" customHeight="1" thickBot="1" x14ac:dyDescent="0.3">
      <c r="A48" s="5">
        <v>6</v>
      </c>
      <c r="B48" s="6" t="s">
        <v>97</v>
      </c>
      <c r="C48" s="7" t="s">
        <v>7</v>
      </c>
      <c r="D48" s="8" t="s">
        <v>8</v>
      </c>
      <c r="E48" s="58" t="s">
        <v>12</v>
      </c>
      <c r="F48" s="8" t="s">
        <v>8</v>
      </c>
      <c r="G48" s="9" t="s">
        <v>12</v>
      </c>
      <c r="H48" s="10" t="s">
        <v>11</v>
      </c>
    </row>
    <row r="49" spans="1:8" ht="20.100000000000001" customHeight="1" x14ac:dyDescent="0.25">
      <c r="A49" s="137" t="s">
        <v>45</v>
      </c>
      <c r="B49" s="81" t="s">
        <v>99</v>
      </c>
      <c r="C49" s="114" t="s">
        <v>34</v>
      </c>
      <c r="D49" s="133">
        <v>1</v>
      </c>
      <c r="E49" s="134">
        <f>D49</f>
        <v>1</v>
      </c>
      <c r="F49" s="134"/>
      <c r="G49" s="135"/>
      <c r="H49" s="138">
        <f>G49*F49</f>
        <v>0</v>
      </c>
    </row>
    <row r="50" spans="1:8" ht="20.100000000000001" customHeight="1" x14ac:dyDescent="0.25">
      <c r="A50" s="121" t="s">
        <v>98</v>
      </c>
      <c r="B50" s="80" t="s">
        <v>103</v>
      </c>
      <c r="C50" s="116" t="s">
        <v>34</v>
      </c>
      <c r="D50" s="111">
        <v>1</v>
      </c>
      <c r="E50" s="112"/>
      <c r="F50" s="112"/>
      <c r="G50" s="105"/>
      <c r="H50" s="102">
        <f t="shared" ref="H50:H53" si="8">G50*F50</f>
        <v>0</v>
      </c>
    </row>
    <row r="51" spans="1:8" ht="20.100000000000001" customHeight="1" x14ac:dyDescent="0.25">
      <c r="A51" s="115" t="s">
        <v>100</v>
      </c>
      <c r="B51" s="136" t="s">
        <v>104</v>
      </c>
      <c r="C51" s="116" t="s">
        <v>34</v>
      </c>
      <c r="D51" s="111">
        <v>1</v>
      </c>
      <c r="E51" s="112"/>
      <c r="F51" s="112"/>
      <c r="G51" s="105"/>
      <c r="H51" s="102">
        <f t="shared" si="8"/>
        <v>0</v>
      </c>
    </row>
    <row r="52" spans="1:8" ht="20.100000000000001" customHeight="1" x14ac:dyDescent="0.25">
      <c r="A52" s="121" t="s">
        <v>101</v>
      </c>
      <c r="B52" s="117" t="s">
        <v>105</v>
      </c>
      <c r="C52" s="116" t="s">
        <v>34</v>
      </c>
      <c r="D52" s="111">
        <v>1</v>
      </c>
      <c r="E52" s="72"/>
      <c r="F52" s="72"/>
      <c r="G52" s="35"/>
      <c r="H52" s="102">
        <f t="shared" si="8"/>
        <v>0</v>
      </c>
    </row>
    <row r="53" spans="1:8" ht="23.25" customHeight="1" x14ac:dyDescent="0.25">
      <c r="A53" s="120" t="s">
        <v>102</v>
      </c>
      <c r="B53" s="113" t="s">
        <v>106</v>
      </c>
      <c r="C53" s="98" t="s">
        <v>34</v>
      </c>
      <c r="D53" s="75">
        <v>1</v>
      </c>
      <c r="E53" s="76">
        <f>D53</f>
        <v>1</v>
      </c>
      <c r="F53" s="76"/>
      <c r="G53" s="77"/>
      <c r="H53" s="139">
        <f t="shared" si="8"/>
        <v>0</v>
      </c>
    </row>
    <row r="54" spans="1:8" ht="20.100000000000001" customHeight="1" x14ac:dyDescent="0.25">
      <c r="A54" s="11" t="s">
        <v>46</v>
      </c>
      <c r="B54" s="36"/>
      <c r="C54" s="12"/>
      <c r="D54" s="12"/>
      <c r="E54" s="60"/>
      <c r="F54" s="12"/>
      <c r="G54" s="13"/>
      <c r="H54" s="14">
        <f>SUM(H49:H53)</f>
        <v>0</v>
      </c>
    </row>
    <row r="55" spans="1:8" ht="20.100000000000001" customHeight="1" x14ac:dyDescent="0.25">
      <c r="A55" s="47" t="s">
        <v>19</v>
      </c>
      <c r="B55" s="49" t="s">
        <v>20</v>
      </c>
      <c r="C55" s="27"/>
      <c r="D55" s="28"/>
      <c r="E55" s="62"/>
      <c r="F55" s="28"/>
      <c r="G55" s="29"/>
      <c r="H55" s="48" t="s">
        <v>21</v>
      </c>
    </row>
    <row r="56" spans="1:8" ht="20.100000000000001" customHeight="1" x14ac:dyDescent="0.25">
      <c r="A56" s="41" t="s">
        <v>6</v>
      </c>
      <c r="B56" s="42" t="str">
        <f>B4</f>
        <v xml:space="preserve">TRAVAUX DE DEPOSE ET DE PREPARATION </v>
      </c>
      <c r="C56" s="43"/>
      <c r="D56" s="44"/>
      <c r="E56" s="64"/>
      <c r="F56" s="44"/>
      <c r="G56" s="45"/>
      <c r="H56" s="46">
        <f>H10</f>
        <v>0</v>
      </c>
    </row>
    <row r="57" spans="1:8" ht="20.100000000000001" customHeight="1" x14ac:dyDescent="0.25">
      <c r="A57" s="41" t="s">
        <v>18</v>
      </c>
      <c r="B57" s="42" t="str">
        <f>B12</f>
        <v>EQUIPEMENTS</v>
      </c>
      <c r="C57" s="43"/>
      <c r="D57" s="44"/>
      <c r="E57" s="64"/>
      <c r="F57" s="44"/>
      <c r="G57" s="45"/>
      <c r="H57" s="46">
        <f>H32</f>
        <v>0</v>
      </c>
    </row>
    <row r="58" spans="1:8" ht="20.100000000000001" customHeight="1" x14ac:dyDescent="0.25">
      <c r="A58" s="41" t="s">
        <v>40</v>
      </c>
      <c r="B58" s="42" t="str">
        <f>B34</f>
        <v>ELECTRICITE</v>
      </c>
      <c r="C58" s="43"/>
      <c r="D58" s="44"/>
      <c r="E58" s="64"/>
      <c r="F58" s="44"/>
      <c r="G58" s="45"/>
      <c r="H58" s="46">
        <f>H37</f>
        <v>0</v>
      </c>
    </row>
    <row r="59" spans="1:8" ht="20.100000000000001" customHeight="1" x14ac:dyDescent="0.25">
      <c r="A59" s="41" t="s">
        <v>41</v>
      </c>
      <c r="B59" s="42" t="str">
        <f>B39</f>
        <v>CALORIFUGE</v>
      </c>
      <c r="C59" s="43"/>
      <c r="D59" s="44"/>
      <c r="E59" s="64"/>
      <c r="F59" s="44"/>
      <c r="G59" s="45"/>
      <c r="H59" s="46">
        <f>H41</f>
        <v>0</v>
      </c>
    </row>
    <row r="60" spans="1:8" ht="20.100000000000001" customHeight="1" x14ac:dyDescent="0.25">
      <c r="A60" s="41" t="s">
        <v>42</v>
      </c>
      <c r="B60" s="42" t="str">
        <f>B43</f>
        <v>TRAVAUX DE RACCORDEMENT</v>
      </c>
      <c r="C60" s="43"/>
      <c r="D60" s="44"/>
      <c r="E60" s="64"/>
      <c r="F60" s="44"/>
      <c r="G60" s="45"/>
      <c r="H60" s="46">
        <f>H46</f>
        <v>0</v>
      </c>
    </row>
    <row r="61" spans="1:8" ht="20.100000000000001" customHeight="1" thickBot="1" x14ac:dyDescent="0.3">
      <c r="A61" s="41" t="s">
        <v>107</v>
      </c>
      <c r="B61" s="42" t="str">
        <f>B48</f>
        <v>DIVERS</v>
      </c>
      <c r="C61" s="43"/>
      <c r="D61" s="44"/>
      <c r="E61" s="64"/>
      <c r="F61" s="44"/>
      <c r="G61" s="45"/>
      <c r="H61" s="46">
        <f>H54</f>
        <v>0</v>
      </c>
    </row>
    <row r="62" spans="1:8" ht="20.100000000000001" customHeight="1" x14ac:dyDescent="0.25">
      <c r="A62" s="15" t="s">
        <v>15</v>
      </c>
      <c r="B62" s="37"/>
      <c r="C62" s="16"/>
      <c r="D62" s="16"/>
      <c r="E62" s="65"/>
      <c r="F62" s="16"/>
      <c r="G62" s="17"/>
      <c r="H62" s="18">
        <f>SUM(H56:H61)</f>
        <v>0</v>
      </c>
    </row>
    <row r="63" spans="1:8" ht="20.100000000000001" customHeight="1" x14ac:dyDescent="0.25">
      <c r="A63" s="140" t="s">
        <v>16</v>
      </c>
      <c r="B63" s="141"/>
      <c r="C63" s="19"/>
      <c r="D63" s="19"/>
      <c r="E63" s="66">
        <v>0.2</v>
      </c>
      <c r="F63" s="19"/>
      <c r="G63" s="20">
        <v>0.2</v>
      </c>
      <c r="H63" s="21">
        <f>H62*20%</f>
        <v>0</v>
      </c>
    </row>
    <row r="64" spans="1:8" ht="20.100000000000001" customHeight="1" thickBot="1" x14ac:dyDescent="0.3">
      <c r="A64" s="22" t="s">
        <v>17</v>
      </c>
      <c r="B64" s="38"/>
      <c r="C64" s="23"/>
      <c r="D64" s="23"/>
      <c r="E64" s="67"/>
      <c r="F64" s="23"/>
      <c r="G64" s="24"/>
      <c r="H64" s="25">
        <f>H62+H63</f>
        <v>0</v>
      </c>
    </row>
  </sheetData>
  <mergeCells count="2">
    <mergeCell ref="A63:B63"/>
    <mergeCell ref="A1:H1"/>
  </mergeCells>
  <phoneticPr fontId="17" type="noConversion"/>
  <pageMargins left="0.7" right="0.7" top="0.75" bottom="0.75" header="0.3" footer="0.3"/>
  <pageSetup paperSize="9" scale="74" orientation="landscape" r:id="rId1"/>
  <rowBreaks count="1" manualBreakCount="1">
    <brk id="3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DPGF</vt:lpstr>
      <vt:lpstr>DPGF!Zone_d_impression</vt:lpstr>
    </vt:vector>
  </TitlesOfParts>
  <Company>GRS VALTECH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GRS VALTECH</dc:creator>
  <cp:lastModifiedBy>Laurent SABATHIER</cp:lastModifiedBy>
  <cp:lastPrinted>2026-03-09T16:54:41Z</cp:lastPrinted>
  <dcterms:created xsi:type="dcterms:W3CDTF">2003-01-10T10:32:26Z</dcterms:created>
  <dcterms:modified xsi:type="dcterms:W3CDTF">2026-03-31T12:46:38Z</dcterms:modified>
</cp:coreProperties>
</file>